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Downloads\"/>
    </mc:Choice>
  </mc:AlternateContent>
  <xr:revisionPtr revIDLastSave="0" documentId="8_{93665F62-8DAC-45CD-A00C-5A214A23EA25}" xr6:coauthVersionLast="47" xr6:coauthVersionMax="47" xr10:uidLastSave="{00000000-0000-0000-0000-000000000000}"/>
  <bookViews>
    <workbookView xWindow="-108" yWindow="-108" windowWidth="23256" windowHeight="12576" xr2:uid="{35644710-D447-42EA-B70A-B0763CACB962}"/>
  </bookViews>
  <sheets>
    <sheet name="Final Calculation Sheet" sheetId="1" r:id="rId1"/>
  </sheets>
  <externalReferences>
    <externalReference r:id="rId2"/>
  </externalReferences>
  <definedNames>
    <definedName name="_xlnm._FilterDatabase" localSheetId="0" hidden="1">'Final Calculation Sheet'!$A$3:$AH$43</definedName>
    <definedName name="SUG_A">[1]Lists!$J$4:INDEX([1]Lists!$J$4:$J$40,MAX([1]Lists!$I$4:$I$40))</definedName>
    <definedName name="SUG_AA">[1]Lists!$JX$4:INDEX([1]Lists!$JX$4:$JX$42,MAX([1]Lists!$JW$4:$JW$40)+2)</definedName>
    <definedName name="SUG_AB">[1]Lists!$KB$4:INDEX([1]Lists!$KB$4:$KB$42,MAX([1]Lists!$KA$4:$KA$40)+2)</definedName>
    <definedName name="SUG_AC">[1]Lists!$KF$4:INDEX([1]Lists!$KF$4:$KF$42,MAX([1]Lists!$KE$4:$KE$40)+2)</definedName>
    <definedName name="SUG_AD">[1]Lists!$KJ$4:INDEX([1]Lists!$KJ$4:$KJ$42,MAX([1]Lists!$KI$4:$KI$40)+2)</definedName>
    <definedName name="SUG_AE">[1]Lists!$KN$4:INDEX([1]Lists!$KN$4:$KN$42,MAX([1]Lists!$KM$4:$KM$40)+2)</definedName>
    <definedName name="SUG_AF">[1]Lists!$KV$4:INDEX([1]Lists!$KV$4:$KV$42,MAX([1]Lists!$KU$4:$KU$40)+2)</definedName>
    <definedName name="SUG_AG">[1]Lists!$KZ$4:INDEX([1]Lists!$KZ$4:$KZ$42,MAX([1]Lists!$KY$4:$KY$40)+2)</definedName>
    <definedName name="SUG_AH">[1]Lists!$LD$4:INDEX([1]Lists!$LD$4:$LD$42,MAX([1]Lists!$LC$4:$LC$40)+2)</definedName>
    <definedName name="SUG_AI">[1]Lists!$KR$4:INDEX([1]Lists!$KR$4:$KR$42,MAX([1]Lists!$KQ$4:$KQ$40)+2)</definedName>
    <definedName name="SUG_B">[1]Lists!$GF$4:INDEX([1]Lists!$GF$4:$GF$42,MAX([1]Lists!$GE$4:$GE$40)+2)</definedName>
    <definedName name="SUG_C">[1]Lists!$GJ$4:INDEX([1]Lists!$GJ$4:$GJ$42,MAX([1]Lists!$GI$4:$GI$40)+2)</definedName>
    <definedName name="SUG_D">[1]Lists!$GB$4:INDEX([1]Lists!$GB$4:$GB$42,MAX([1]Lists!$GA$4:$GA$40)+2)</definedName>
    <definedName name="SUG_E">[1]Lists!$GN$4:INDEX([1]Lists!$GN$4:$GN$42,MAX([1]Lists!$GM$4:$GM$40)+2)</definedName>
    <definedName name="SUG_F">[1]Lists!$GR$4:INDEX([1]Lists!$GR$4:$GR$42,MAX([1]Lists!$GQ$4:$GQ$40)+2)</definedName>
    <definedName name="SUG_G">[1]Lists!$GV$4:INDEX([1]Lists!$GV$4:$GV$42,MAX([1]Lists!$GU$4:$GU$40)+2)</definedName>
    <definedName name="SUG_H">[1]Lists!$GZ$4:INDEX([1]Lists!$GZ$4:$GZ$42,MAX([1]Lists!$GY$4:$GY$40)+2)</definedName>
    <definedName name="SUG_I">[1]Lists!$HD$4:INDEX([1]Lists!$HD$4:$HD$42,MAX([1]Lists!$HC$4:$HC$40)+2)</definedName>
    <definedName name="SUG_J">[1]Lists!$HH$4:INDEX([1]Lists!$HH$4:$HH$42,MAX([1]Lists!$HG$4:$HG$40)+2)</definedName>
    <definedName name="SUG_K">[1]Lists!$HL$4:INDEX([1]Lists!$HL$4:$HL$42,MAX([1]Lists!$HK$4:$HK$40)+2)</definedName>
    <definedName name="SUG_L">[1]Lists!$HP$4:INDEX([1]Lists!$HP$4:$HP$42,MAX([1]Lists!$HO$4:$HO$40)+2)</definedName>
    <definedName name="SUG_M">[1]Lists!$HT$4:INDEX([1]Lists!$HT$4:$HT$42,MAX([1]Lists!$HS$4:$HS$40)+2)</definedName>
    <definedName name="SUG_MAIN">[1]Lists!$A$4:$A$114</definedName>
    <definedName name="SUG_N">[1]Lists!$HX$4:INDEX([1]Lists!$HX$4:$HX$42,MAX([1]Lists!$HW$4:$HW$40)+2)</definedName>
    <definedName name="SUG_O">[1]Lists!$IB$4:INDEX([1]Lists!$IB$4:$IB$42,MAX([1]Lists!$IA$4:$IA$40)+2)</definedName>
    <definedName name="SUG_P">[1]Lists!$IF$4:INDEX([1]Lists!$IF$4:$IF$42,MAX([1]Lists!$IE$4:$IE$40)+2)</definedName>
    <definedName name="SUG_Q">[1]Lists!$IJ$4:INDEX([1]Lists!$IJ$4:$IJ$42,MAX([1]Lists!$II$4:$II$40)+2)</definedName>
    <definedName name="SUG_R">[1]Lists!$IN$4:INDEX([1]Lists!$IN$4:$IN$42,MAX([1]Lists!$IM$4:$IM$40)+2)</definedName>
    <definedName name="SUG_S">[1]Lists!$IR$4:INDEX([1]Lists!$IR$4:$IR$42,MAX([1]Lists!$IQ$4:$IQ$40)+2)</definedName>
    <definedName name="SUG_T">[1]Lists!$IV$4:INDEX([1]Lists!$IV$4:$IV$42,MAX([1]Lists!$IU$4:$IU$40)+2)</definedName>
    <definedName name="SUG_U">[1]Lists!$IZ$4:INDEX([1]Lists!$IZ$4:$IZ$42,MAX([1]Lists!$IY$4:$IY$40)+2)</definedName>
    <definedName name="SUG_V">[1]Lists!$JD$4:INDEX([1]Lists!$JD$4:$JD$42,MAX([1]Lists!$JC$4:$JC$40)+2)</definedName>
    <definedName name="SUG_W">[1]Lists!$JH$4:INDEX([1]Lists!$JH$4:$JH$42,MAX([1]Lists!$JG$4:$JG$40)+2)</definedName>
    <definedName name="SUG_X">[1]Lists!$JL$4:INDEX([1]Lists!$JL$4:$JL$42,MAX([1]Lists!$JK$4:$JK$40)+2)</definedName>
    <definedName name="SUG_Y">[1]Lists!$JP$4:INDEX([1]Lists!$JP$4:$JP$42,MAX([1]Lists!$JO$4:$JO$40)+2)</definedName>
    <definedName name="SUG_Z">[1]Lists!$JT$4:INDEX([1]Lists!$JT$4:$JT$42,MAX([1]Lists!$JS$4:$JS$40)+2)</definedName>
    <definedName name="SUGF_A">[1]Lists!$QS$4:INDEX([1]Lists!$QS$4:$QS$42,MAX([1]Lists!$QR$4:$QR$40)+2)</definedName>
    <definedName name="SUGF_AA">[1]Lists!$US$4:INDEX([1]Lists!$US$4:$US$42,MAX([1]Lists!$UR$4:$UR$40)+2)</definedName>
    <definedName name="SUGF_AB">[1]Lists!$UW$4:INDEX([1]Lists!$UW$4:$UW$42,MAX([1]Lists!$UV$4:$UV$40)+2)</definedName>
    <definedName name="SUGF_AC">[1]Lists!$VA$4:INDEX([1]Lists!$VA$4:$VA$42,MAX([1]Lists!$UZ$4:$UZ$40)+2)</definedName>
    <definedName name="SUGF_AD">[1]Lists!$VE$4:INDEX([1]Lists!$VE$4:$VE$42,MAX([1]Lists!$VD$4:$VD$40)+2)</definedName>
    <definedName name="SUGF_AE">[1]Lists!$VI$4:INDEX([1]Lists!$VI$4:$VI$42,MAX([1]Lists!$VH$4:$VH$40)+2)</definedName>
    <definedName name="SUGF_AF">[1]Lists!$VM$4:INDEX([1]Lists!$VM$4:$VM$42,MAX([1]Lists!$VL$4:$VL$40)+2)</definedName>
    <definedName name="SUGF_AG">[1]Lists!$VQ$4:INDEX([1]Lists!$VQ$4:$VQ$42,MAX([1]Lists!$VP$4:$VP$40)+2)</definedName>
    <definedName name="SUGF_AH">[1]Lists!$VU$4:INDEX([1]Lists!$VU$4:$VU$42,MAX([1]Lists!$VT$4:$VT$40)+2)</definedName>
    <definedName name="SUGF_B">[1]Lists!$QW$4:INDEX([1]Lists!$QW$4:$QW$42,MAX([1]Lists!$QV$4:$QV$40)+2)</definedName>
    <definedName name="SUGF_C">[1]Lists!$RA$4:INDEX([1]Lists!$RA$4:$RA$42,MAX([1]Lists!$QZ$4:$QZ$40)+2)</definedName>
    <definedName name="SUGF_D">[1]Lists!$RE$4:INDEX([1]Lists!$RE$4:$RE$42,MAX([1]Lists!$RD$4:$RD$40)+2)</definedName>
    <definedName name="SUGF_E">[1]Lists!$RI$4:INDEX([1]Lists!$RI$4:$RI$42,MAX([1]Lists!$RH$4:$RH$40)+2)</definedName>
    <definedName name="SUGF_F">[1]Lists!$RM$4:INDEX([1]Lists!$RM$4:$RM$42,MAX([1]Lists!$RL$4:$RL$40)+2)</definedName>
    <definedName name="SUGF_G">[1]Lists!$RQ$4:INDEX([1]Lists!$RQ$4:$RQ$42,MAX([1]Lists!$RP$4:$RP$40)+2)</definedName>
    <definedName name="SUGF_H">[1]Lists!$RU$4:INDEX([1]Lists!$RU$4:$RU$42,MAX([1]Lists!$RT$4:$RT$40)+2)</definedName>
    <definedName name="SUGF_I">[1]Lists!$RY$4:INDEX([1]Lists!$RY$4:$RY$42,MAX([1]Lists!$RX$4:$RX$40)+2)</definedName>
    <definedName name="SUGF_J">[1]Lists!$SC$4:INDEX([1]Lists!$SC$4:$SC$42,MAX([1]Lists!$SB$4:$SB$40)+2)</definedName>
    <definedName name="SUGF_K">[1]Lists!$SG$4:INDEX([1]Lists!$SG$4:$SG$42,MAX([1]Lists!$SF$4:$SF$40)+2)</definedName>
    <definedName name="SUGF_L">[1]Lists!$SK$4:INDEX([1]Lists!$SK$4:$SK$42,MAX([1]Lists!$SJ$4:$SJ$40)+2)</definedName>
    <definedName name="SUGF_M">[1]Lists!$SO$4:INDEX([1]Lists!$SO$4:$SO$42,MAX([1]Lists!$SN$4:$SN$40)+2)</definedName>
    <definedName name="SUGF_N">[1]Lists!$SS$4:INDEX([1]Lists!$SS$4:$SS$42,MAX([1]Lists!$SR$4:$SR$40)+2)</definedName>
    <definedName name="SUGF_O">[1]Lists!$SW$4:INDEX([1]Lists!$SW$4:$SW$42,MAX([1]Lists!$SV$4:$SV$40)+2)</definedName>
    <definedName name="SUGF_P">[1]Lists!$TA$4:INDEX([1]Lists!$TA$4:$TA$42,MAX([1]Lists!$SZ$4:$SZ$40)+2)</definedName>
    <definedName name="SUGF_Q">[1]Lists!$TE$4:INDEX([1]Lists!$TE$4:$TE$42,MAX([1]Lists!$TD$4:$TD$40)+2)</definedName>
    <definedName name="SUGF_R">[1]Lists!$TI$4:INDEX([1]Lists!$TI$4:$TI$42,MAX([1]Lists!$TH$4:$TH$40)+2)</definedName>
    <definedName name="SUGF_S">[1]Lists!$TM$4:INDEX([1]Lists!$TM$4:$TM$42,MAX([1]Lists!$TL$4:$TL$40)+2)</definedName>
    <definedName name="SUGF_T">[1]Lists!$TQ$4:INDEX([1]Lists!$TQ$4:$TQ$42,MAX([1]Lists!$TP$4:$TP$40)+2)</definedName>
    <definedName name="SUGF_U">[1]Lists!$TU$4:INDEX([1]Lists!$TU$4:$TU$42,MAX([1]Lists!$TT$4:$TT$40)+2)</definedName>
    <definedName name="SUGF_V">[1]Lists!$TY$4:INDEX([1]Lists!$TY$4:$TY$42,MAX([1]Lists!$TX$4:$TX$40)+2)</definedName>
    <definedName name="SUGF_W">[1]Lists!$UC$4:INDEX([1]Lists!$UC$4:$UC$42,MAX([1]Lists!$UB$4:$UB$40)+2)</definedName>
    <definedName name="SUGF_X">[1]Lists!$UG$4:INDEX([1]Lists!$UG$4:$UG$42,MAX([1]Lists!$UF$4:$UF$40)+2)</definedName>
    <definedName name="SUGF_Y">[1]Lists!$UK$4:INDEX([1]Lists!$UK$4:$UK$42,MAX([1]Lists!$UJ$4:$UJ$40)+2)</definedName>
    <definedName name="SUGF_Z">[1]Lists!$UO$4:INDEX([1]Lists!$UO$4:$UO$42,MAX([1]Lists!$UN$4:$UN$40)+2)</definedName>
    <definedName name="SUGN_AA">[1]Lists!$PD$4:INDEX([1]Lists!$PD$4:$PD$42,MAX([1]Lists!$PC$4:$PC$40)+2)</definedName>
    <definedName name="SUGN_AB">[1]Lists!$PH$4:INDEX([1]Lists!$PH$4:$PH$42,MAX([1]Lists!$PG$4:$PG$40)+2)</definedName>
    <definedName name="SUGN_AC">[1]Lists!$PL$4:INDEX([1]Lists!$PL$4:$PL$42,MAX([1]Lists!$PK$4:$PK$40)+2)</definedName>
    <definedName name="SUGN_AD">[1]Lists!$PP$4:INDEX([1]Lists!$PP$4:$PP$42,MAX([1]Lists!$PO$4:$PO$40)+2)</definedName>
    <definedName name="SUGN_AE">[1]Lists!$PT$4:INDEX([1]Lists!$PT$4:$PT$42,MAX([1]Lists!$PS$4:$PS$40)+2)</definedName>
    <definedName name="SUGN_AF">[1]Lists!$QB$4:INDEX([1]Lists!$QB$4:$QB$42,MAX([1]Lists!$QA$4:$QA$40)+2)</definedName>
    <definedName name="SUGN_AG">[1]Lists!$QF$4:INDEX([1]Lists!$QF$4:$QF$42,MAX([1]Lists!$QE$4:$QE$40)+2)</definedName>
    <definedName name="SUGN_AH">[1]Lists!$QJ$4:INDEX([1]Lists!$QJ$4:$QJ$42,MAX([1]Lists!$QI$4:$QI$40)+2)</definedName>
    <definedName name="SUGN_AI">[1]Lists!$PX$4:INDEX([1]Lists!$PX$4:$PX$42,MAX([1]Lists!$PW$4:$PW$40)+2)</definedName>
    <definedName name="SUGN_B">[1]Lists!$LH$4:INDEX([1]Lists!$LH$4:$LH$42,MAX([1]Lists!$LG$4:$LG$40)+2)</definedName>
    <definedName name="SUGN_C">[1]Lists!$LL$4:INDEX([1]Lists!$LL$4:$LL$42,MAX([1]Lists!$LK$4:$LK$40)+2)</definedName>
    <definedName name="SUGN_D">[1]Lists!$LP$4:INDEX([1]Lists!$LP$4:$LP$42,MAX([1]Lists!$LO$4:$LO$40)+2)</definedName>
    <definedName name="SUGN_E">[1]Lists!$LT$4:INDEX([1]Lists!$LT$4:$LT$42,MAX([1]Lists!$LS$4:$LS$40)+2)</definedName>
    <definedName name="SUGN_F">[1]Lists!$LX$4:INDEX([1]Lists!$LX$4:$LX$42,MAX([1]Lists!$LW$4:$LW$40)+2)</definedName>
    <definedName name="SUGN_G">[1]Lists!$MB$4:INDEX([1]Lists!$MB$4:$MB$42,MAX([1]Lists!$MA$4:$MA$40)+2)</definedName>
    <definedName name="SUGN_H">[1]Lists!$MF$4:INDEX([1]Lists!$MF$4:$MF$42,MAX([1]Lists!$ME$4:$ME$40)+2)</definedName>
    <definedName name="SUGN_I">[1]Lists!$MJ$4:INDEX([1]Lists!$MJ$4:$MJ$42,MAX([1]Lists!$MI$4:$MI$40)+2)</definedName>
    <definedName name="SUGN_J">[1]Lists!$MN$4:INDEX([1]Lists!$MN$4:$MN$42,MAX([1]Lists!$MM$4:$MM$40)+2)</definedName>
    <definedName name="SUGN_K">[1]Lists!$MR$4:INDEX([1]Lists!$MR$4:$MR$42,MAX([1]Lists!$MQ$4:$MQ$40)+2)</definedName>
    <definedName name="SUGN_L">[1]Lists!$MV$4:INDEX([1]Lists!$MV$4:$MV$42,MAX([1]Lists!$MU$4:$MU$40)+2)</definedName>
    <definedName name="SUGN_M">[1]Lists!$MZ$4:INDEX([1]Lists!$MZ$4:$MZ$42,MAX([1]Lists!$MY$4:$MY$40)+2)</definedName>
    <definedName name="SUGN_N">[1]Lists!$ND$4:INDEX([1]Lists!$ND$4:$ND$42,MAX([1]Lists!$NC$4:$NC$40)+2)</definedName>
    <definedName name="SUGN_O">[1]Lists!$NH$4:INDEX([1]Lists!$NH$4:$NH$42,MAX([1]Lists!$NG$4:$NG$40)+2)</definedName>
    <definedName name="SUGN_P">[1]Lists!$NL$4:INDEX([1]Lists!$NL$4:$NL$42,MAX([1]Lists!$NK$4:$NK$40)+2)</definedName>
    <definedName name="SUGN_Q">[1]Lists!$NP$4:INDEX([1]Lists!$NP$4:$NP$42,MAX([1]Lists!$NO$4:$NO$40)+2)</definedName>
    <definedName name="SUGN_R">[1]Lists!$NT$4:INDEX([1]Lists!$NT$4:$NT$42,MAX([1]Lists!$NS$4:$NS$40)+2)</definedName>
    <definedName name="SUGN_S">[1]Lists!$NX$4:INDEX([1]Lists!$NX$4:$NX$42,MAX([1]Lists!$NW$4:$NW$40)+2)</definedName>
    <definedName name="SUGN_T">[1]Lists!$OB$4:INDEX([1]Lists!$OB$4:$OB$42,MAX([1]Lists!$OA$4:$OA$40)+2)</definedName>
    <definedName name="SUGN_U">[1]Lists!$OF$4:INDEX([1]Lists!$OF$4:$OF$42,MAX([1]Lists!$OE$4:$OE$40)+2)</definedName>
    <definedName name="SUGN_V">[1]Lists!$OJ$4:INDEX([1]Lists!$OJ$4:$OJ$42,MAX([1]Lists!$OI$4:$OI$40)+2)</definedName>
    <definedName name="SUGN_W">[1]Lists!$ON$4:INDEX([1]Lists!$ON$4:$ON$42,MAX([1]Lists!$OM$4:$OM$40)+2)</definedName>
    <definedName name="SUGN_X">[1]Lists!$OR$4:INDEX([1]Lists!$OR$4:$OR$42,MAX([1]Lists!$OQ$4:$OQ$40)+2)</definedName>
    <definedName name="SUGN_Y">[1]Lists!$OV$4:INDEX([1]Lists!$OV$4:$OV$42,MAX([1]Lists!$OU$4:$OU$40)+2)</definedName>
    <definedName name="SUGN_Z">[1]Lists!$OZ$4:INDEX([1]Lists!$OZ$4:$OZ$42,MAX([1]Lists!$OY$4:$OY$40)+2)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1" i="1" l="1"/>
  <c r="H41" i="1"/>
  <c r="H42" i="1" s="1"/>
  <c r="I42" i="1" s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BT40" i="1" s="1"/>
  <c r="AC40" i="1"/>
  <c r="Z40" i="1"/>
  <c r="T40" i="1"/>
  <c r="R40" i="1"/>
  <c r="N40" i="1"/>
  <c r="M40" i="1"/>
  <c r="O40" i="1" s="1"/>
  <c r="P40" i="1" s="1"/>
  <c r="L40" i="1"/>
  <c r="I40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BT39" i="1" s="1"/>
  <c r="AC39" i="1"/>
  <c r="Z39" i="1"/>
  <c r="W39" i="1"/>
  <c r="T39" i="1"/>
  <c r="R39" i="1"/>
  <c r="S39" i="1" s="1"/>
  <c r="AD39" i="1" s="1"/>
  <c r="AE39" i="1" s="1"/>
  <c r="N39" i="1"/>
  <c r="M39" i="1"/>
  <c r="O39" i="1" s="1"/>
  <c r="P39" i="1" s="1"/>
  <c r="L39" i="1"/>
  <c r="I39" i="1"/>
  <c r="K39" i="1" s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BT38" i="1" s="1"/>
  <c r="AM38" i="1"/>
  <c r="AL38" i="1"/>
  <c r="AC38" i="1"/>
  <c r="Z38" i="1"/>
  <c r="W38" i="1"/>
  <c r="T38" i="1"/>
  <c r="R38" i="1"/>
  <c r="S38" i="1" s="1"/>
  <c r="AD38" i="1" s="1"/>
  <c r="AE38" i="1" s="1"/>
  <c r="O38" i="1"/>
  <c r="P38" i="1" s="1"/>
  <c r="N38" i="1"/>
  <c r="M38" i="1"/>
  <c r="L38" i="1"/>
  <c r="K38" i="1"/>
  <c r="I38" i="1"/>
  <c r="J38" i="1" s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BT37" i="1" s="1"/>
  <c r="AL37" i="1"/>
  <c r="Z37" i="1"/>
  <c r="T37" i="1"/>
  <c r="U37" i="1" s="1"/>
  <c r="AC37" i="1" s="1"/>
  <c r="R37" i="1"/>
  <c r="S37" i="1" s="1"/>
  <c r="O37" i="1"/>
  <c r="P37" i="1" s="1"/>
  <c r="N37" i="1"/>
  <c r="M37" i="1"/>
  <c r="L37" i="1"/>
  <c r="K37" i="1"/>
  <c r="I37" i="1"/>
  <c r="J37" i="1" s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T36" i="1" s="1"/>
  <c r="AL36" i="1"/>
  <c r="AC36" i="1"/>
  <c r="Z36" i="1"/>
  <c r="W36" i="1"/>
  <c r="T36" i="1"/>
  <c r="S36" i="1"/>
  <c r="AD36" i="1" s="1"/>
  <c r="AE36" i="1" s="1"/>
  <c r="R36" i="1"/>
  <c r="N36" i="1"/>
  <c r="O36" i="1" s="1"/>
  <c r="P36" i="1" s="1"/>
  <c r="M36" i="1"/>
  <c r="L36" i="1"/>
  <c r="K36" i="1"/>
  <c r="J36" i="1"/>
  <c r="I36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BT35" i="1" s="1"/>
  <c r="AC35" i="1"/>
  <c r="Z35" i="1"/>
  <c r="T35" i="1"/>
  <c r="R35" i="1"/>
  <c r="N35" i="1"/>
  <c r="M35" i="1"/>
  <c r="O35" i="1" s="1"/>
  <c r="P35" i="1" s="1"/>
  <c r="L35" i="1"/>
  <c r="I35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BT34" i="1" s="1"/>
  <c r="AC34" i="1"/>
  <c r="Z34" i="1"/>
  <c r="W34" i="1"/>
  <c r="T34" i="1"/>
  <c r="R34" i="1"/>
  <c r="S34" i="1" s="1"/>
  <c r="AD34" i="1" s="1"/>
  <c r="AE34" i="1" s="1"/>
  <c r="N34" i="1"/>
  <c r="M34" i="1"/>
  <c r="O34" i="1" s="1"/>
  <c r="L34" i="1"/>
  <c r="P34" i="1" s="1"/>
  <c r="I34" i="1"/>
  <c r="K34" i="1" s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BT33" i="1" s="1"/>
  <c r="AM33" i="1"/>
  <c r="AL33" i="1"/>
  <c r="Z33" i="1"/>
  <c r="U33" i="1"/>
  <c r="AC33" i="1" s="1"/>
  <c r="T33" i="1"/>
  <c r="R33" i="1"/>
  <c r="S33" i="1" s="1"/>
  <c r="AD33" i="1" s="1"/>
  <c r="AE33" i="1" s="1"/>
  <c r="P33" i="1"/>
  <c r="N33" i="1"/>
  <c r="M33" i="1"/>
  <c r="O33" i="1" s="1"/>
  <c r="L33" i="1"/>
  <c r="I33" i="1"/>
  <c r="K33" i="1" s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BT32" i="1" s="1"/>
  <c r="AM32" i="1"/>
  <c r="AL32" i="1"/>
  <c r="Z32" i="1"/>
  <c r="U32" i="1"/>
  <c r="AC32" i="1" s="1"/>
  <c r="T32" i="1"/>
  <c r="R32" i="1"/>
  <c r="S32" i="1" s="1"/>
  <c r="AD32" i="1" s="1"/>
  <c r="AE32" i="1" s="1"/>
  <c r="N32" i="1"/>
  <c r="M32" i="1"/>
  <c r="O32" i="1" s="1"/>
  <c r="P32" i="1" s="1"/>
  <c r="L32" i="1"/>
  <c r="I32" i="1"/>
  <c r="K32" i="1" s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BT31" i="1" s="1"/>
  <c r="AM31" i="1"/>
  <c r="AL31" i="1"/>
  <c r="AC31" i="1"/>
  <c r="Z31" i="1"/>
  <c r="W31" i="1"/>
  <c r="T31" i="1"/>
  <c r="R31" i="1"/>
  <c r="S31" i="1" s="1"/>
  <c r="AD31" i="1" s="1"/>
  <c r="AE31" i="1" s="1"/>
  <c r="O31" i="1"/>
  <c r="P31" i="1" s="1"/>
  <c r="N31" i="1"/>
  <c r="M31" i="1"/>
  <c r="L31" i="1"/>
  <c r="K31" i="1"/>
  <c r="I31" i="1"/>
  <c r="J31" i="1" s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T30" i="1" s="1"/>
  <c r="AL30" i="1"/>
  <c r="Z30" i="1"/>
  <c r="T30" i="1"/>
  <c r="U30" i="1" s="1"/>
  <c r="AC30" i="1" s="1"/>
  <c r="R30" i="1"/>
  <c r="S30" i="1" s="1"/>
  <c r="O30" i="1"/>
  <c r="P30" i="1" s="1"/>
  <c r="N30" i="1"/>
  <c r="M30" i="1"/>
  <c r="L30" i="1"/>
  <c r="K30" i="1"/>
  <c r="I30" i="1"/>
  <c r="J30" i="1" s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T29" i="1" s="1"/>
  <c r="AL29" i="1"/>
  <c r="AC29" i="1"/>
  <c r="Z29" i="1"/>
  <c r="W29" i="1"/>
  <c r="T29" i="1"/>
  <c r="S29" i="1"/>
  <c r="AD29" i="1" s="1"/>
  <c r="AE29" i="1" s="1"/>
  <c r="R29" i="1"/>
  <c r="N29" i="1"/>
  <c r="O29" i="1" s="1"/>
  <c r="P29" i="1" s="1"/>
  <c r="M29" i="1"/>
  <c r="L29" i="1"/>
  <c r="K29" i="1"/>
  <c r="J29" i="1"/>
  <c r="I29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BT28" i="1" s="1"/>
  <c r="AC28" i="1"/>
  <c r="Z28" i="1"/>
  <c r="T28" i="1"/>
  <c r="R28" i="1"/>
  <c r="N28" i="1"/>
  <c r="M28" i="1"/>
  <c r="O28" i="1" s="1"/>
  <c r="P28" i="1" s="1"/>
  <c r="L28" i="1"/>
  <c r="I28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BT27" i="1" s="1"/>
  <c r="AC27" i="1"/>
  <c r="Z27" i="1"/>
  <c r="W27" i="1"/>
  <c r="T27" i="1"/>
  <c r="R27" i="1"/>
  <c r="S27" i="1" s="1"/>
  <c r="AD27" i="1" s="1"/>
  <c r="AE27" i="1" s="1"/>
  <c r="N27" i="1"/>
  <c r="M27" i="1"/>
  <c r="O27" i="1" s="1"/>
  <c r="P27" i="1" s="1"/>
  <c r="L27" i="1"/>
  <c r="I27" i="1"/>
  <c r="K27" i="1" s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BT26" i="1" s="1"/>
  <c r="AM26" i="1"/>
  <c r="AL26" i="1"/>
  <c r="Z26" i="1"/>
  <c r="U26" i="1"/>
  <c r="AC26" i="1" s="1"/>
  <c r="T26" i="1"/>
  <c r="R26" i="1"/>
  <c r="S26" i="1" s="1"/>
  <c r="AD26" i="1" s="1"/>
  <c r="AE26" i="1" s="1"/>
  <c r="N26" i="1"/>
  <c r="M26" i="1"/>
  <c r="O26" i="1" s="1"/>
  <c r="P26" i="1" s="1"/>
  <c r="L26" i="1"/>
  <c r="I26" i="1"/>
  <c r="K26" i="1" s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BT25" i="1" s="1"/>
  <c r="AM25" i="1"/>
  <c r="AL25" i="1"/>
  <c r="AD25" i="1"/>
  <c r="AE25" i="1" s="1"/>
  <c r="AC25" i="1"/>
  <c r="Z25" i="1"/>
  <c r="W25" i="1"/>
  <c r="T25" i="1"/>
  <c r="R25" i="1"/>
  <c r="S25" i="1" s="1"/>
  <c r="O25" i="1"/>
  <c r="P25" i="1" s="1"/>
  <c r="N25" i="1"/>
  <c r="M25" i="1"/>
  <c r="L25" i="1"/>
  <c r="K25" i="1"/>
  <c r="I25" i="1"/>
  <c r="J25" i="1" s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T24" i="1" s="1"/>
  <c r="AL24" i="1"/>
  <c r="Z24" i="1"/>
  <c r="T24" i="1"/>
  <c r="U24" i="1" s="1"/>
  <c r="AC24" i="1" s="1"/>
  <c r="R24" i="1"/>
  <c r="S24" i="1" s="1"/>
  <c r="O24" i="1"/>
  <c r="P24" i="1" s="1"/>
  <c r="N24" i="1"/>
  <c r="M24" i="1"/>
  <c r="L24" i="1"/>
  <c r="K24" i="1"/>
  <c r="I24" i="1"/>
  <c r="J24" i="1" s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T23" i="1" s="1"/>
  <c r="AL23" i="1"/>
  <c r="AC23" i="1"/>
  <c r="Z23" i="1"/>
  <c r="W23" i="1"/>
  <c r="T23" i="1"/>
  <c r="S23" i="1"/>
  <c r="AD23" i="1" s="1"/>
  <c r="AE23" i="1" s="1"/>
  <c r="R23" i="1"/>
  <c r="N23" i="1"/>
  <c r="O23" i="1" s="1"/>
  <c r="P23" i="1" s="1"/>
  <c r="M23" i="1"/>
  <c r="L23" i="1"/>
  <c r="K23" i="1"/>
  <c r="J23" i="1"/>
  <c r="I23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BT22" i="1" s="1"/>
  <c r="Z22" i="1"/>
  <c r="T22" i="1"/>
  <c r="U22" i="1" s="1"/>
  <c r="AC22" i="1" s="1"/>
  <c r="S22" i="1"/>
  <c r="AD22" i="1" s="1"/>
  <c r="AE22" i="1" s="1"/>
  <c r="R22" i="1"/>
  <c r="W22" i="1" s="1"/>
  <c r="N22" i="1"/>
  <c r="O22" i="1" s="1"/>
  <c r="P22" i="1" s="1"/>
  <c r="M22" i="1"/>
  <c r="L22" i="1"/>
  <c r="K22" i="1"/>
  <c r="J22" i="1"/>
  <c r="I22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BT21" i="1" s="1"/>
  <c r="Z21" i="1"/>
  <c r="T21" i="1"/>
  <c r="U21" i="1" s="1"/>
  <c r="AC21" i="1" s="1"/>
  <c r="S21" i="1"/>
  <c r="AD21" i="1" s="1"/>
  <c r="AE21" i="1" s="1"/>
  <c r="R21" i="1"/>
  <c r="W21" i="1" s="1"/>
  <c r="N21" i="1"/>
  <c r="O21" i="1" s="1"/>
  <c r="P21" i="1" s="1"/>
  <c r="M21" i="1"/>
  <c r="L21" i="1"/>
  <c r="K21" i="1"/>
  <c r="J21" i="1"/>
  <c r="I21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BT20" i="1" s="1"/>
  <c r="AC20" i="1"/>
  <c r="Z20" i="1"/>
  <c r="T20" i="1"/>
  <c r="R20" i="1"/>
  <c r="N20" i="1"/>
  <c r="M20" i="1"/>
  <c r="O20" i="1" s="1"/>
  <c r="P20" i="1" s="1"/>
  <c r="L20" i="1"/>
  <c r="I20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Z19" i="1"/>
  <c r="W19" i="1"/>
  <c r="T19" i="1"/>
  <c r="U19" i="1" s="1"/>
  <c r="AC19" i="1" s="1"/>
  <c r="R19" i="1"/>
  <c r="S19" i="1" s="1"/>
  <c r="AD19" i="1" s="1"/>
  <c r="AE19" i="1" s="1"/>
  <c r="N19" i="1"/>
  <c r="M19" i="1"/>
  <c r="O19" i="1" s="1"/>
  <c r="P19" i="1" s="1"/>
  <c r="L19" i="1"/>
  <c r="I19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BT18" i="1" s="1"/>
  <c r="Z18" i="1"/>
  <c r="T18" i="1"/>
  <c r="U18" i="1" s="1"/>
  <c r="AC18" i="1" s="1"/>
  <c r="R18" i="1"/>
  <c r="S18" i="1" s="1"/>
  <c r="N18" i="1"/>
  <c r="M18" i="1"/>
  <c r="O18" i="1" s="1"/>
  <c r="P18" i="1" s="1"/>
  <c r="L18" i="1"/>
  <c r="I18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Z17" i="1"/>
  <c r="T17" i="1"/>
  <c r="R17" i="1"/>
  <c r="N17" i="1"/>
  <c r="M17" i="1"/>
  <c r="O17" i="1" s="1"/>
  <c r="P17" i="1" s="1"/>
  <c r="L17" i="1"/>
  <c r="I17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BT16" i="1" s="1"/>
  <c r="AC16" i="1"/>
  <c r="Z16" i="1"/>
  <c r="W16" i="1"/>
  <c r="T16" i="1"/>
  <c r="R16" i="1"/>
  <c r="S16" i="1" s="1"/>
  <c r="AD16" i="1" s="1"/>
  <c r="AE16" i="1" s="1"/>
  <c r="N16" i="1"/>
  <c r="M16" i="1"/>
  <c r="O16" i="1" s="1"/>
  <c r="L16" i="1"/>
  <c r="P16" i="1" s="1"/>
  <c r="I16" i="1"/>
  <c r="K16" i="1" s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BT15" i="1" s="1"/>
  <c r="AM15" i="1"/>
  <c r="AL15" i="1"/>
  <c r="AC15" i="1"/>
  <c r="Z15" i="1"/>
  <c r="W15" i="1"/>
  <c r="T15" i="1"/>
  <c r="R15" i="1"/>
  <c r="S15" i="1" s="1"/>
  <c r="AD15" i="1" s="1"/>
  <c r="AE15" i="1" s="1"/>
  <c r="O15" i="1"/>
  <c r="P15" i="1" s="1"/>
  <c r="N15" i="1"/>
  <c r="M15" i="1"/>
  <c r="L15" i="1"/>
  <c r="K15" i="1"/>
  <c r="I15" i="1"/>
  <c r="J15" i="1" s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T14" i="1" s="1"/>
  <c r="AL14" i="1"/>
  <c r="Z14" i="1"/>
  <c r="T14" i="1"/>
  <c r="U14" i="1" s="1"/>
  <c r="AC14" i="1" s="1"/>
  <c r="R14" i="1"/>
  <c r="S14" i="1" s="1"/>
  <c r="O14" i="1"/>
  <c r="P14" i="1" s="1"/>
  <c r="N14" i="1"/>
  <c r="M14" i="1"/>
  <c r="L14" i="1"/>
  <c r="K14" i="1"/>
  <c r="I14" i="1"/>
  <c r="J14" i="1" s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T13" i="1" s="1"/>
  <c r="AL13" i="1"/>
  <c r="AC13" i="1"/>
  <c r="Z13" i="1"/>
  <c r="T13" i="1"/>
  <c r="S13" i="1"/>
  <c r="AD13" i="1" s="1"/>
  <c r="AE13" i="1" s="1"/>
  <c r="R13" i="1"/>
  <c r="W13" i="1" s="1"/>
  <c r="O13" i="1"/>
  <c r="P13" i="1" s="1"/>
  <c r="N13" i="1"/>
  <c r="M13" i="1"/>
  <c r="L13" i="1"/>
  <c r="K13" i="1"/>
  <c r="J13" i="1"/>
  <c r="I13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BT12" i="1" s="1"/>
  <c r="Z12" i="1"/>
  <c r="T12" i="1"/>
  <c r="U12" i="1" s="1"/>
  <c r="AC12" i="1" s="1"/>
  <c r="S12" i="1"/>
  <c r="R12" i="1"/>
  <c r="W12" i="1" s="1"/>
  <c r="O12" i="1"/>
  <c r="P12" i="1" s="1"/>
  <c r="N12" i="1"/>
  <c r="M12" i="1"/>
  <c r="L12" i="1"/>
  <c r="K12" i="1"/>
  <c r="J12" i="1"/>
  <c r="I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BT11" i="1" s="1"/>
  <c r="AC11" i="1"/>
  <c r="Z11" i="1"/>
  <c r="T11" i="1"/>
  <c r="U11" i="1" s="1"/>
  <c r="S11" i="1"/>
  <c r="AD11" i="1" s="1"/>
  <c r="AE11" i="1" s="1"/>
  <c r="R11" i="1"/>
  <c r="W11" i="1" s="1"/>
  <c r="O11" i="1"/>
  <c r="P11" i="1" s="1"/>
  <c r="N11" i="1"/>
  <c r="M11" i="1"/>
  <c r="L11" i="1"/>
  <c r="K11" i="1"/>
  <c r="J11" i="1"/>
  <c r="I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BT10" i="1" s="1"/>
  <c r="Z10" i="1"/>
  <c r="T10" i="1"/>
  <c r="U10" i="1" s="1"/>
  <c r="AC10" i="1" s="1"/>
  <c r="S10" i="1"/>
  <c r="R10" i="1"/>
  <c r="W10" i="1" s="1"/>
  <c r="O10" i="1"/>
  <c r="P10" i="1" s="1"/>
  <c r="N10" i="1"/>
  <c r="M10" i="1"/>
  <c r="L10" i="1"/>
  <c r="K10" i="1"/>
  <c r="J10" i="1"/>
  <c r="I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Z9" i="1"/>
  <c r="U9" i="1"/>
  <c r="AC9" i="1" s="1"/>
  <c r="AD9" i="1" s="1"/>
  <c r="AE9" i="1" s="1"/>
  <c r="T9" i="1"/>
  <c r="S9" i="1"/>
  <c r="R9" i="1"/>
  <c r="W9" i="1" s="1"/>
  <c r="N9" i="1"/>
  <c r="M9" i="1"/>
  <c r="O9" i="1" s="1"/>
  <c r="P9" i="1" s="1"/>
  <c r="L9" i="1"/>
  <c r="J9" i="1"/>
  <c r="I9" i="1"/>
  <c r="K9" i="1" s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BT8" i="1" s="1"/>
  <c r="Z8" i="1"/>
  <c r="U8" i="1"/>
  <c r="AC8" i="1" s="1"/>
  <c r="AD8" i="1" s="1"/>
  <c r="AE8" i="1" s="1"/>
  <c r="T8" i="1"/>
  <c r="S8" i="1"/>
  <c r="R8" i="1"/>
  <c r="W8" i="1" s="1"/>
  <c r="N8" i="1"/>
  <c r="M8" i="1"/>
  <c r="O8" i="1" s="1"/>
  <c r="P8" i="1" s="1"/>
  <c r="L8" i="1"/>
  <c r="J8" i="1"/>
  <c r="I8" i="1"/>
  <c r="K8" i="1" s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BT7" i="1" s="1"/>
  <c r="AM7" i="1"/>
  <c r="AL7" i="1"/>
  <c r="Z7" i="1"/>
  <c r="W7" i="1"/>
  <c r="X7" i="1" s="1"/>
  <c r="AC7" i="1" s="1"/>
  <c r="AD7" i="1" s="1"/>
  <c r="AE7" i="1" s="1"/>
  <c r="T7" i="1"/>
  <c r="S7" i="1"/>
  <c r="R7" i="1"/>
  <c r="N7" i="1"/>
  <c r="M7" i="1"/>
  <c r="O7" i="1" s="1"/>
  <c r="P7" i="1" s="1"/>
  <c r="L7" i="1"/>
  <c r="J7" i="1"/>
  <c r="I7" i="1"/>
  <c r="K7" i="1" s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BT6" i="1" s="1"/>
  <c r="AM6" i="1"/>
  <c r="AL6" i="1"/>
  <c r="Z6" i="1"/>
  <c r="W6" i="1"/>
  <c r="X6" i="1" s="1"/>
  <c r="T6" i="1"/>
  <c r="S6" i="1"/>
  <c r="R6" i="1"/>
  <c r="N6" i="1"/>
  <c r="M6" i="1"/>
  <c r="O6" i="1" s="1"/>
  <c r="P6" i="1" s="1"/>
  <c r="L6" i="1"/>
  <c r="J6" i="1"/>
  <c r="I6" i="1"/>
  <c r="K6" i="1" s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BT5" i="1" s="1"/>
  <c r="AM5" i="1"/>
  <c r="AL5" i="1"/>
  <c r="Z5" i="1"/>
  <c r="U5" i="1"/>
  <c r="U41" i="1" s="1"/>
  <c r="T5" i="1"/>
  <c r="S5" i="1"/>
  <c r="R5" i="1"/>
  <c r="W5" i="1" s="1"/>
  <c r="N5" i="1"/>
  <c r="M5" i="1"/>
  <c r="O5" i="1" s="1"/>
  <c r="P5" i="1" s="1"/>
  <c r="L5" i="1"/>
  <c r="J5" i="1"/>
  <c r="I5" i="1"/>
  <c r="K5" i="1" s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BT4" i="1" s="1"/>
  <c r="AM4" i="1"/>
  <c r="AL4" i="1"/>
  <c r="AC4" i="1"/>
  <c r="Z4" i="1"/>
  <c r="Z41" i="1" s="1"/>
  <c r="T4" i="1"/>
  <c r="T41" i="1" s="1"/>
  <c r="U42" i="1" s="1"/>
  <c r="R4" i="1"/>
  <c r="W4" i="1" s="1"/>
  <c r="O4" i="1"/>
  <c r="N4" i="1"/>
  <c r="M4" i="1"/>
  <c r="M41" i="1" s="1"/>
  <c r="L4" i="1"/>
  <c r="K4" i="1"/>
  <c r="I4" i="1"/>
  <c r="I41" i="1" s="1"/>
  <c r="AI2" i="1"/>
  <c r="AC6" i="1" l="1"/>
  <c r="AD6" i="1" s="1"/>
  <c r="AE6" i="1" s="1"/>
  <c r="BT9" i="1"/>
  <c r="K17" i="1"/>
  <c r="J17" i="1"/>
  <c r="W17" i="1"/>
  <c r="X17" i="1" s="1"/>
  <c r="AC17" i="1" s="1"/>
  <c r="S17" i="1"/>
  <c r="AD30" i="1"/>
  <c r="AE30" i="1" s="1"/>
  <c r="K35" i="1"/>
  <c r="J35" i="1"/>
  <c r="W35" i="1"/>
  <c r="S35" i="1"/>
  <c r="AD35" i="1" s="1"/>
  <c r="AE35" i="1" s="1"/>
  <c r="K40" i="1"/>
  <c r="J40" i="1"/>
  <c r="W40" i="1"/>
  <c r="S40" i="1"/>
  <c r="AD40" i="1" s="1"/>
  <c r="AE40" i="1" s="1"/>
  <c r="O41" i="1"/>
  <c r="J4" i="1"/>
  <c r="N41" i="1"/>
  <c r="S4" i="1"/>
  <c r="AC5" i="1"/>
  <c r="AD5" i="1" s="1"/>
  <c r="AE5" i="1" s="1"/>
  <c r="BT17" i="1"/>
  <c r="W18" i="1"/>
  <c r="K20" i="1"/>
  <c r="J20" i="1"/>
  <c r="W20" i="1"/>
  <c r="S20" i="1"/>
  <c r="AD20" i="1" s="1"/>
  <c r="AE20" i="1" s="1"/>
  <c r="R41" i="1"/>
  <c r="R42" i="1" s="1"/>
  <c r="AD10" i="1"/>
  <c r="AE10" i="1" s="1"/>
  <c r="AD12" i="1"/>
  <c r="AE12" i="1" s="1"/>
  <c r="AD14" i="1"/>
  <c r="AE14" i="1" s="1"/>
  <c r="K19" i="1"/>
  <c r="J19" i="1"/>
  <c r="K28" i="1"/>
  <c r="J28" i="1"/>
  <c r="W28" i="1"/>
  <c r="S28" i="1"/>
  <c r="AD28" i="1" s="1"/>
  <c r="AE28" i="1" s="1"/>
  <c r="AD37" i="1"/>
  <c r="AE37" i="1" s="1"/>
  <c r="L42" i="1"/>
  <c r="K42" i="1"/>
  <c r="S42" i="1"/>
  <c r="N42" i="1"/>
  <c r="J42" i="1"/>
  <c r="M42" i="1"/>
  <c r="O42" i="1" s="1"/>
  <c r="P42" i="1" s="1"/>
  <c r="L41" i="1"/>
  <c r="P4" i="1"/>
  <c r="P41" i="1" s="1"/>
  <c r="K18" i="1"/>
  <c r="K41" i="1" s="1"/>
  <c r="J18" i="1"/>
  <c r="AD18" i="1"/>
  <c r="AE18" i="1" s="1"/>
  <c r="BT19" i="1"/>
  <c r="AD24" i="1"/>
  <c r="AE24" i="1" s="1"/>
  <c r="W26" i="1"/>
  <c r="W32" i="1"/>
  <c r="W33" i="1"/>
  <c r="W14" i="1"/>
  <c r="W41" i="1" s="1"/>
  <c r="J16" i="1"/>
  <c r="W24" i="1"/>
  <c r="J26" i="1"/>
  <c r="J27" i="1"/>
  <c r="W30" i="1"/>
  <c r="J32" i="1"/>
  <c r="J33" i="1"/>
  <c r="J34" i="1"/>
  <c r="W37" i="1"/>
  <c r="J39" i="1"/>
  <c r="S41" i="1" l="1"/>
  <c r="AD4" i="1"/>
  <c r="AC41" i="1"/>
  <c r="X41" i="1"/>
  <c r="X42" i="1" s="1"/>
  <c r="J41" i="1"/>
  <c r="AD17" i="1"/>
  <c r="AE17" i="1" s="1"/>
  <c r="AD41" i="1" l="1"/>
  <c r="AE41" i="1" s="1"/>
  <c r="AE4" i="1"/>
</calcChain>
</file>

<file path=xl/sharedStrings.xml><?xml version="1.0" encoding="utf-8"?>
<sst xmlns="http://schemas.openxmlformats.org/spreadsheetml/2006/main" count="285" uniqueCount="123">
  <si>
    <t>MSTC LIMITED - COMBINED BID SHEET (Auctions 21977, 21978, 21979, 21980)</t>
  </si>
  <si>
    <t>Quantity</t>
  </si>
  <si>
    <t>Lot No.</t>
  </si>
  <si>
    <t>Rate</t>
  </si>
  <si>
    <t>Bid Sheet</t>
  </si>
  <si>
    <t>Unit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</si>
  <si>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</si>
  <si>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</si>
  <si>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</si>
  <si>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</si>
  <si>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</si>
  <si>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</si>
  <si>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</si>
  <si>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</si>
  <si>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</si>
  <si>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</si>
  <si>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</si>
  <si>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</si>
  <si>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</si>
  <si>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</si>
  <si>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</si>
  <si>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</si>
  <si>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</si>
  <si>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</si>
  <si>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</si>
  <si>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</si>
  <si>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</si>
  <si>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</si>
  <si>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</si>
  <si>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>Payment Status</t>
  </si>
  <si>
    <t xml:space="preserve">Invoice No. </t>
  </si>
  <si>
    <t>SAP Document</t>
  </si>
  <si>
    <t>Doc./Invoice Date</t>
  </si>
  <si>
    <t>SCRAP COPPER OF T/F WINDING (Oil impregnated paper insulated T/F winding)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</si>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</sst>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1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0"/>
      <color rgb="FF1F3864"/>
      <name val="Calibri"/>
      <charset val="1"/>
    </font>
    <font>
      <b/>
      <sz val="9"/>
      <color rgb="FFFFFFFF"/>
      <name val="Cambria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699"/>
        <bgColor rgb="FFFFD966"/>
      </patternFill>
    </fill>
    <fill>
      <patternFill patternType="solid">
        <fgColor rgb="FF1F3864"/>
        <bgColor rgb="FF333333"/>
      </patternFill>
    </fill>
    <fill>
      <patternFill patternType="solid">
        <fgColor theme="2" tint="-9.9978637043366805E-2"/>
        <bgColor rgb="FFD0D0D0"/>
      </patternFill>
    </fill>
    <fill>
      <patternFill patternType="solid">
        <fgColor theme="0"/>
        <bgColor rgb="FFF4F9FD"/>
      </patternFill>
    </fill>
    <fill>
      <patternFill patternType="solid">
        <fgColor rgb="FFF4F9FD"/>
      </patternFill>
    </fill>
    <fill>
      <patternFill patternType="solid">
        <fgColor rgb="FFD9E2F3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Protection="1">
      <protection locked="0"/>
    </xf>
    <xf numFmtId="0" fontId="3" fillId="3" borderId="1" xfId="0" applyFont="1" applyFill="1" applyBorder="1"/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right" vertical="center" wrapText="1"/>
    </xf>
    <xf numFmtId="164" fontId="7" fillId="0" borderId="6" xfId="0" applyNumberFormat="1" applyFont="1" applyBorder="1" applyAlignment="1">
      <alignment horizontal="right" vertical="center"/>
    </xf>
    <xf numFmtId="3" fontId="7" fillId="0" borderId="6" xfId="0" applyNumberFormat="1" applyFont="1" applyBorder="1" applyAlignment="1">
      <alignment horizontal="right" vertical="center"/>
    </xf>
    <xf numFmtId="9" fontId="7" fillId="0" borderId="6" xfId="0" applyNumberFormat="1" applyFont="1" applyBorder="1" applyAlignment="1">
      <alignment horizontal="right" vertical="center"/>
    </xf>
    <xf numFmtId="165" fontId="8" fillId="5" borderId="6" xfId="0" applyNumberFormat="1" applyFont="1" applyFill="1" applyBorder="1" applyAlignment="1">
      <alignment vertical="center"/>
    </xf>
    <xf numFmtId="164" fontId="7" fillId="5" borderId="6" xfId="0" applyNumberFormat="1" applyFont="1" applyFill="1" applyBorder="1" applyAlignment="1">
      <alignment horizontal="right" vertical="center"/>
    </xf>
    <xf numFmtId="164" fontId="7" fillId="5" borderId="7" xfId="0" applyNumberFormat="1" applyFont="1" applyFill="1" applyBorder="1" applyAlignment="1">
      <alignment horizontal="right" vertical="center"/>
    </xf>
    <xf numFmtId="1" fontId="7" fillId="5" borderId="7" xfId="0" applyNumberFormat="1" applyFont="1" applyFill="1" applyBorder="1" applyAlignment="1">
      <alignment horizontal="center" vertical="center"/>
    </xf>
    <xf numFmtId="164" fontId="7" fillId="5" borderId="8" xfId="0" applyNumberFormat="1" applyFont="1" applyFill="1" applyBorder="1" applyAlignment="1">
      <alignment horizontal="righ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left" vertical="center" wrapText="1"/>
    </xf>
    <xf numFmtId="164" fontId="7" fillId="6" borderId="7" xfId="0" applyNumberFormat="1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164" fontId="7" fillId="6" borderId="7" xfId="0" applyNumberFormat="1" applyFont="1" applyFill="1" applyBorder="1" applyAlignment="1">
      <alignment horizontal="right" vertical="center" wrapText="1"/>
    </xf>
    <xf numFmtId="164" fontId="7" fillId="6" borderId="7" xfId="0" applyNumberFormat="1" applyFont="1" applyFill="1" applyBorder="1" applyAlignment="1">
      <alignment horizontal="right" vertical="center"/>
    </xf>
    <xf numFmtId="3" fontId="7" fillId="6" borderId="7" xfId="0" applyNumberFormat="1" applyFont="1" applyFill="1" applyBorder="1" applyAlignment="1">
      <alignment horizontal="right" vertical="center"/>
    </xf>
    <xf numFmtId="9" fontId="7" fillId="6" borderId="7" xfId="0" applyNumberFormat="1" applyFont="1" applyFill="1" applyBorder="1" applyAlignment="1">
      <alignment horizontal="right" vertical="center"/>
    </xf>
    <xf numFmtId="165" fontId="8" fillId="6" borderId="7" xfId="0" applyNumberFormat="1" applyFont="1" applyFill="1" applyBorder="1" applyAlignment="1">
      <alignment vertical="center"/>
    </xf>
    <xf numFmtId="164" fontId="7" fillId="6" borderId="6" xfId="0" applyNumberFormat="1" applyFont="1" applyFill="1" applyBorder="1" applyAlignment="1">
      <alignment horizontal="right" vertical="center"/>
    </xf>
    <xf numFmtId="1" fontId="7" fillId="6" borderId="7" xfId="0" applyNumberFormat="1" applyFont="1" applyFill="1" applyBorder="1" applyAlignment="1">
      <alignment horizontal="center" vertical="center"/>
    </xf>
    <xf numFmtId="164" fontId="7" fillId="6" borderId="8" xfId="0" applyNumberFormat="1" applyFont="1" applyFill="1" applyBorder="1" applyAlignment="1">
      <alignment horizontal="right" vertical="center"/>
    </xf>
    <xf numFmtId="0" fontId="7" fillId="0" borderId="9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164" fontId="7" fillId="0" borderId="7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164" fontId="7" fillId="0" borderId="7" xfId="0" applyNumberFormat="1" applyFont="1" applyBorder="1" applyAlignment="1">
      <alignment horizontal="right" vertical="center" wrapText="1"/>
    </xf>
    <xf numFmtId="164" fontId="7" fillId="0" borderId="7" xfId="0" applyNumberFormat="1" applyFont="1" applyBorder="1" applyAlignment="1">
      <alignment horizontal="right" vertical="center"/>
    </xf>
    <xf numFmtId="3" fontId="7" fillId="0" borderId="7" xfId="0" applyNumberFormat="1" applyFont="1" applyBorder="1" applyAlignment="1">
      <alignment horizontal="right" vertical="center"/>
    </xf>
    <xf numFmtId="9" fontId="7" fillId="0" borderId="7" xfId="0" applyNumberFormat="1" applyFont="1" applyBorder="1" applyAlignment="1">
      <alignment horizontal="right" vertical="center"/>
    </xf>
    <xf numFmtId="165" fontId="8" fillId="5" borderId="7" xfId="0" applyNumberFormat="1" applyFont="1" applyFill="1" applyBorder="1" applyAlignment="1">
      <alignment vertical="center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right" vertical="center" wrapText="1"/>
    </xf>
    <xf numFmtId="164" fontId="7" fillId="0" borderId="11" xfId="0" applyNumberFormat="1" applyFont="1" applyBorder="1" applyAlignment="1">
      <alignment horizontal="right" vertical="center"/>
    </xf>
    <xf numFmtId="3" fontId="7" fillId="0" borderId="11" xfId="0" applyNumberFormat="1" applyFont="1" applyBorder="1" applyAlignment="1">
      <alignment horizontal="right" vertical="center"/>
    </xf>
    <xf numFmtId="9" fontId="7" fillId="0" borderId="11" xfId="0" applyNumberFormat="1" applyFont="1" applyBorder="1" applyAlignment="1">
      <alignment horizontal="right" vertical="center"/>
    </xf>
    <xf numFmtId="165" fontId="8" fillId="5" borderId="11" xfId="0" applyNumberFormat="1" applyFont="1" applyFill="1" applyBorder="1" applyAlignment="1">
      <alignment vertical="center"/>
    </xf>
    <xf numFmtId="0" fontId="4" fillId="7" borderId="12" xfId="0" applyFont="1" applyFill="1" applyBorder="1"/>
    <xf numFmtId="0" fontId="4" fillId="7" borderId="13" xfId="0" applyFont="1" applyFill="1" applyBorder="1"/>
    <xf numFmtId="164" fontId="9" fillId="7" borderId="13" xfId="0" applyNumberFormat="1" applyFont="1" applyFill="1" applyBorder="1" applyAlignment="1">
      <alignment horizontal="right" vertical="center" wrapText="1"/>
    </xf>
    <xf numFmtId="164" fontId="9" fillId="7" borderId="13" xfId="0" applyNumberFormat="1" applyFont="1" applyFill="1" applyBorder="1" applyAlignment="1">
      <alignment horizontal="right" vertical="center"/>
    </xf>
    <xf numFmtId="0" fontId="4" fillId="7" borderId="14" xfId="0" applyFont="1" applyFill="1" applyBorder="1"/>
    <xf numFmtId="0" fontId="0" fillId="0" borderId="15" xfId="0" applyBorder="1"/>
    <xf numFmtId="0" fontId="0" fillId="0" borderId="16" xfId="0" applyBorder="1"/>
    <xf numFmtId="164" fontId="7" fillId="0" borderId="16" xfId="0" applyNumberFormat="1" applyFont="1" applyBorder="1" applyAlignment="1">
      <alignment horizontal="right" vertical="center" wrapText="1"/>
    </xf>
    <xf numFmtId="164" fontId="7" fillId="0" borderId="16" xfId="0" applyNumberFormat="1" applyFont="1" applyBorder="1" applyAlignment="1">
      <alignment horizontal="right" vertical="center"/>
    </xf>
    <xf numFmtId="3" fontId="7" fillId="0" borderId="16" xfId="0" applyNumberFormat="1" applyFont="1" applyBorder="1" applyAlignment="1">
      <alignment horizontal="right" vertical="center"/>
    </xf>
    <xf numFmtId="164" fontId="8" fillId="0" borderId="16" xfId="0" applyNumberFormat="1" applyFont="1" applyBorder="1"/>
    <xf numFmtId="165" fontId="8" fillId="5" borderId="16" xfId="0" applyNumberFormat="1" applyFont="1" applyFill="1" applyBorder="1" applyAlignment="1">
      <alignment horizontal="right" vertical="center"/>
    </xf>
    <xf numFmtId="164" fontId="0" fillId="0" borderId="16" xfId="0" applyNumberFormat="1" applyBorder="1"/>
    <xf numFmtId="0" fontId="0" fillId="0" borderId="17" xfId="0" applyBorder="1"/>
    <xf numFmtId="164" fontId="0" fillId="0" borderId="0" xfId="0" applyNumberFormat="1"/>
    <xf numFmtId="0" fontId="0" fillId="0" borderId="0" xfId="0" applyAlignment="1">
      <alignment wrapText="1"/>
    </xf>
    <xf numFmtId="0" fontId="0" fillId="5" borderId="0" xfId="0" applyFill="1" applyAlignment="1">
      <alignment horizontal="right" vertical="center"/>
    </xf>
    <xf numFmtId="0" fontId="0" fillId="5" borderId="0" xfId="0" applyFill="1"/>
    <xf numFmtId="0" fontId="0" fillId="0" borderId="0" xfId="0" applyAlignment="1">
      <alignment horizontal="right"/>
    </xf>
    <xf numFmtId="164" fontId="0" fillId="5" borderId="0" xfId="0" applyNumberFormat="1" applyFill="1"/>
  </cellXfs>
  <cellStyles count="1">
    <cellStyle name="Normal" xfId="0" builtinId="0"/>
  </cellStyles>
  <dxfs count="38">
    <dxf>
      <font>
        <color rgb="FF9C0006"/>
      </font>
      <fill>
        <patternFill patternType="solid">
          <fgColor rgb="FFFCE4E4"/>
        </patternFill>
      </fill>
    </dxf>
    <dxf>
      <font>
        <color rgb="FF9C0006"/>
      </font>
      <fill>
        <patternFill patternType="solid">
          <fgColor rgb="FFFCE4E4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b/>
        <color rgb="FF1F3864"/>
      </font>
      <fill>
        <patternFill>
          <bgColor rgb="FFFFD966"/>
        </patternFill>
      </fill>
    </dxf>
    <dxf>
      <font>
        <color rgb="FF666666"/>
      </font>
      <fill>
        <patternFill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iyus\Downloads\Unrepaired%20(18).xlsm" TargetMode="External"/><Relationship Id="rId1" Type="http://schemas.openxmlformats.org/officeDocument/2006/relationships/externalLinkPath" Target="Unrepaired%20(18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l Calculation Sheet"/>
      <sheetName val="Live Search"/>
      <sheetName val="Buyer Groups"/>
      <sheetName val="Lists"/>
      <sheetName val="LS_Backup"/>
    </sheetNames>
    <sheetDataSet>
      <sheetData sheetId="0"/>
      <sheetData sheetId="1"/>
      <sheetData sheetId="2"/>
      <sheetData sheetId="3">
        <row r="4">
          <cell r="A4" t="str">
            <v>+ 1763</v>
          </cell>
          <cell r="I4">
            <v>1</v>
          </cell>
          <cell r="J4" t="str">
            <v>+ 1</v>
          </cell>
          <cell r="GA4">
            <v>0</v>
          </cell>
          <cell r="GB4" t="str">
            <v/>
          </cell>
          <cell r="GE4">
            <v>0</v>
          </cell>
          <cell r="GF4" t="str">
            <v/>
          </cell>
          <cell r="GI4">
            <v>1</v>
          </cell>
          <cell r="GJ4" t="str">
            <v>+ AL HAMD TRADE CORPORATION</v>
          </cell>
          <cell r="GM4">
            <v>0</v>
          </cell>
          <cell r="GN4" t="str">
            <v/>
          </cell>
          <cell r="GQ4">
            <v>0</v>
          </cell>
          <cell r="GR4" t="str">
            <v/>
          </cell>
          <cell r="GU4">
            <v>0</v>
          </cell>
          <cell r="GV4" t="str">
            <v/>
          </cell>
          <cell r="GY4">
            <v>0</v>
          </cell>
          <cell r="GZ4" t="str">
            <v/>
          </cell>
          <cell r="HC4">
            <v>0</v>
          </cell>
          <cell r="HD4" t="str">
            <v/>
          </cell>
          <cell r="HG4">
            <v>0</v>
          </cell>
          <cell r="HH4" t="str">
            <v/>
          </cell>
          <cell r="HK4">
            <v>0</v>
          </cell>
          <cell r="HL4" t="str">
            <v/>
          </cell>
          <cell r="HO4">
            <v>0</v>
          </cell>
          <cell r="HP4" t="str">
            <v/>
          </cell>
          <cell r="HS4">
            <v>0</v>
          </cell>
          <cell r="HT4" t="str">
            <v/>
          </cell>
          <cell r="HW4">
            <v>0</v>
          </cell>
          <cell r="HX4" t="str">
            <v/>
          </cell>
          <cell r="IA4">
            <v>0</v>
          </cell>
          <cell r="IB4" t="str">
            <v/>
          </cell>
          <cell r="IE4">
            <v>0</v>
          </cell>
          <cell r="IF4" t="str">
            <v/>
          </cell>
          <cell r="II4">
            <v>0</v>
          </cell>
          <cell r="IJ4" t="str">
            <v/>
          </cell>
          <cell r="IM4">
            <v>0</v>
          </cell>
          <cell r="IN4" t="str">
            <v/>
          </cell>
          <cell r="IQ4">
            <v>0</v>
          </cell>
          <cell r="IR4" t="str">
            <v/>
          </cell>
          <cell r="IU4">
            <v>0</v>
          </cell>
          <cell r="IV4" t="str">
            <v/>
          </cell>
          <cell r="IY4">
            <v>0</v>
          </cell>
          <cell r="IZ4" t="str">
            <v/>
          </cell>
          <cell r="JC4">
            <v>0</v>
          </cell>
          <cell r="JD4" t="str">
            <v/>
          </cell>
          <cell r="JG4">
            <v>0</v>
          </cell>
          <cell r="JH4" t="str">
            <v/>
          </cell>
          <cell r="JK4">
            <v>0</v>
          </cell>
          <cell r="JL4" t="str">
            <v/>
          </cell>
          <cell r="JO4" t="e">
            <v>#N/A</v>
          </cell>
          <cell r="JP4" t="e">
            <v>#N/A</v>
          </cell>
          <cell r="JS4" t="e">
            <v>#N/A</v>
          </cell>
          <cell r="JT4" t="e">
            <v>#N/A</v>
          </cell>
          <cell r="JW4">
            <v>0</v>
          </cell>
          <cell r="JX4" t="str">
            <v/>
          </cell>
          <cell r="KA4" t="e">
            <v>#N/A</v>
          </cell>
          <cell r="KB4" t="e">
            <v>#N/A</v>
          </cell>
          <cell r="KE4" t="e">
            <v>#N/A</v>
          </cell>
          <cell r="KF4" t="e">
            <v>#N/A</v>
          </cell>
          <cell r="KI4">
            <v>0</v>
          </cell>
          <cell r="KJ4" t="str">
            <v/>
          </cell>
          <cell r="KM4">
            <v>0</v>
          </cell>
          <cell r="KN4" t="str">
            <v/>
          </cell>
          <cell r="KQ4">
            <v>0</v>
          </cell>
          <cell r="KR4" t="str">
            <v/>
          </cell>
          <cell r="KU4" t="e">
            <v>#N/A</v>
          </cell>
          <cell r="KV4" t="e">
            <v>#N/A</v>
          </cell>
          <cell r="KY4" t="e">
            <v>#N/A</v>
          </cell>
          <cell r="KZ4" t="e">
            <v>#N/A</v>
          </cell>
          <cell r="LC4" t="e">
            <v>#N/A</v>
          </cell>
          <cell r="LD4" t="e">
            <v>#N/A</v>
          </cell>
          <cell r="LG4">
            <v>1</v>
          </cell>
          <cell r="LH4">
            <v>1763</v>
          </cell>
          <cell r="LK4">
            <v>1</v>
          </cell>
          <cell r="LL4" t="str">
            <v>AL HAMD TRADE CORPORATION</v>
          </cell>
          <cell r="LO4">
            <v>1</v>
          </cell>
          <cell r="LP4" t="str">
            <v>Mix Scrap (Tower angles &amp; 0.2 ACSR Condutor pieces)</v>
          </cell>
          <cell r="LS4">
            <v>1</v>
          </cell>
          <cell r="LT4">
            <v>21977</v>
          </cell>
          <cell r="LW4">
            <v>1</v>
          </cell>
          <cell r="LX4">
            <v>1</v>
          </cell>
          <cell r="MA4">
            <v>1</v>
          </cell>
          <cell r="MB4" t="str">
            <v>KG</v>
          </cell>
          <cell r="ME4">
            <v>1</v>
          </cell>
          <cell r="MF4">
            <v>66</v>
          </cell>
          <cell r="MI4">
            <v>1</v>
          </cell>
          <cell r="MJ4">
            <v>15400</v>
          </cell>
          <cell r="MM4">
            <v>1</v>
          </cell>
          <cell r="MN4">
            <v>2772</v>
          </cell>
          <cell r="MQ4">
            <v>1</v>
          </cell>
          <cell r="MR4">
            <v>18172</v>
          </cell>
          <cell r="MU4">
            <v>1</v>
          </cell>
          <cell r="MV4">
            <v>363</v>
          </cell>
          <cell r="MY4">
            <v>1</v>
          </cell>
          <cell r="MZ4">
            <v>15.4</v>
          </cell>
          <cell r="NC4">
            <v>1</v>
          </cell>
          <cell r="ND4">
            <v>408.87</v>
          </cell>
          <cell r="NG4">
            <v>1</v>
          </cell>
          <cell r="NH4">
            <v>6.93</v>
          </cell>
          <cell r="NK4">
            <v>1</v>
          </cell>
          <cell r="NL4">
            <v>401.94</v>
          </cell>
          <cell r="NO4">
            <v>1</v>
          </cell>
          <cell r="NP4">
            <v>417</v>
          </cell>
          <cell r="NS4">
            <v>1</v>
          </cell>
          <cell r="NT4">
            <v>0</v>
          </cell>
          <cell r="NW4">
            <v>1</v>
          </cell>
          <cell r="NX4">
            <v>0</v>
          </cell>
          <cell r="OA4">
            <v>1</v>
          </cell>
          <cell r="OB4">
            <v>18118</v>
          </cell>
          <cell r="OE4">
            <v>1</v>
          </cell>
          <cell r="OF4">
            <v>3850</v>
          </cell>
          <cell r="OI4">
            <v>1</v>
          </cell>
          <cell r="OJ4">
            <v>3850</v>
          </cell>
          <cell r="OM4">
            <v>1</v>
          </cell>
          <cell r="ON4" t="str">
            <v>10.08.2026</v>
          </cell>
          <cell r="OQ4">
            <v>1</v>
          </cell>
          <cell r="OR4">
            <v>14268</v>
          </cell>
          <cell r="OU4" t="e">
            <v>#N/A</v>
          </cell>
          <cell r="OV4" t="e">
            <v>#N/A</v>
          </cell>
          <cell r="OY4" t="e">
            <v>#N/A</v>
          </cell>
          <cell r="OZ4" t="e">
            <v>#N/A</v>
          </cell>
          <cell r="PC4">
            <v>1</v>
          </cell>
          <cell r="PD4">
            <v>545.16</v>
          </cell>
          <cell r="PG4" t="e">
            <v>#N/A</v>
          </cell>
          <cell r="PH4" t="e">
            <v>#N/A</v>
          </cell>
          <cell r="PK4" t="e">
            <v>#N/A</v>
          </cell>
          <cell r="PL4" t="e">
            <v>#N/A</v>
          </cell>
          <cell r="PO4">
            <v>1</v>
          </cell>
          <cell r="PP4">
            <v>13500</v>
          </cell>
          <cell r="PS4">
            <v>1</v>
          </cell>
          <cell r="PT4">
            <v>-2832</v>
          </cell>
          <cell r="PW4">
            <v>0</v>
          </cell>
          <cell r="PX4" t="str">
            <v>SETTLED</v>
          </cell>
          <cell r="QA4" t="e">
            <v>#N/A</v>
          </cell>
          <cell r="QB4" t="e">
            <v>#N/A</v>
          </cell>
          <cell r="QE4" t="e">
            <v>#N/A</v>
          </cell>
          <cell r="QF4" t="e">
            <v>#N/A</v>
          </cell>
          <cell r="QI4" t="e">
            <v>#N/A</v>
          </cell>
          <cell r="QJ4" t="e">
            <v>#N/A</v>
          </cell>
          <cell r="QR4">
            <v>1</v>
          </cell>
          <cell r="QS4">
            <v>1</v>
          </cell>
          <cell r="QV4">
            <v>1</v>
          </cell>
          <cell r="QW4" t="str">
            <v>Mix Scrap (Tower angles &amp; 0.2 ACSR Condutor pieces)</v>
          </cell>
          <cell r="QZ4">
            <v>1</v>
          </cell>
          <cell r="RA4">
            <v>66</v>
          </cell>
          <cell r="RD4">
            <v>1</v>
          </cell>
          <cell r="RE4">
            <v>21977</v>
          </cell>
          <cell r="RH4">
            <v>1</v>
          </cell>
          <cell r="RI4" t="str">
            <v>KG</v>
          </cell>
          <cell r="RL4">
            <v>1</v>
          </cell>
          <cell r="RM4">
            <v>1763</v>
          </cell>
          <cell r="RP4">
            <v>1</v>
          </cell>
          <cell r="RQ4" t="str">
            <v>AL HAMD TRADE CORPORATION</v>
          </cell>
          <cell r="RT4">
            <v>1</v>
          </cell>
          <cell r="RU4">
            <v>15400</v>
          </cell>
          <cell r="RX4">
            <v>1</v>
          </cell>
          <cell r="RY4">
            <v>2772</v>
          </cell>
          <cell r="SB4">
            <v>1</v>
          </cell>
          <cell r="SC4">
            <v>18172</v>
          </cell>
          <cell r="SF4">
            <v>1</v>
          </cell>
          <cell r="SG4">
            <v>363</v>
          </cell>
          <cell r="SJ4">
            <v>1</v>
          </cell>
          <cell r="SK4">
            <v>15.4</v>
          </cell>
          <cell r="SN4">
            <v>1</v>
          </cell>
          <cell r="SO4">
            <v>408.87</v>
          </cell>
          <cell r="SR4">
            <v>1</v>
          </cell>
          <cell r="SS4">
            <v>6.93</v>
          </cell>
          <cell r="SV4">
            <v>1</v>
          </cell>
          <cell r="SW4">
            <v>401.94</v>
          </cell>
          <cell r="SZ4">
            <v>1</v>
          </cell>
          <cell r="TA4">
            <v>417</v>
          </cell>
          <cell r="TD4">
            <v>1</v>
          </cell>
          <cell r="TE4">
            <v>0</v>
          </cell>
          <cell r="TH4">
            <v>1</v>
          </cell>
          <cell r="TI4">
            <v>0</v>
          </cell>
          <cell r="TL4">
            <v>1</v>
          </cell>
          <cell r="TM4">
            <v>18118</v>
          </cell>
          <cell r="TP4">
            <v>1</v>
          </cell>
          <cell r="TQ4">
            <v>3850</v>
          </cell>
          <cell r="TT4">
            <v>1</v>
          </cell>
          <cell r="TU4">
            <v>3850</v>
          </cell>
          <cell r="TX4">
            <v>1</v>
          </cell>
          <cell r="TY4" t="str">
            <v>10.08.2026</v>
          </cell>
          <cell r="UB4">
            <v>1</v>
          </cell>
          <cell r="UC4">
            <v>14268</v>
          </cell>
          <cell r="UF4" t="e">
            <v>#N/A</v>
          </cell>
          <cell r="UG4" t="e">
            <v>#N/A</v>
          </cell>
          <cell r="UJ4" t="e">
            <v>#N/A</v>
          </cell>
          <cell r="UK4" t="e">
            <v>#N/A</v>
          </cell>
          <cell r="UN4">
            <v>1</v>
          </cell>
          <cell r="UO4">
            <v>545.16</v>
          </cell>
          <cell r="UR4" t="e">
            <v>#N/A</v>
          </cell>
          <cell r="US4" t="e">
            <v>#N/A</v>
          </cell>
          <cell r="UV4" t="e">
            <v>#N/A</v>
          </cell>
          <cell r="UW4" t="e">
            <v>#N/A</v>
          </cell>
          <cell r="UZ4">
            <v>1</v>
          </cell>
          <cell r="VA4">
            <v>13500</v>
          </cell>
          <cell r="VD4">
            <v>1</v>
          </cell>
          <cell r="VE4">
            <v>-2832</v>
          </cell>
          <cell r="VH4" t="e">
            <v>#N/A</v>
          </cell>
          <cell r="VI4" t="e">
            <v>#N/A</v>
          </cell>
          <cell r="VL4" t="e">
            <v>#N/A</v>
          </cell>
          <cell r="VM4" t="e">
            <v>#N/A</v>
          </cell>
          <cell r="VP4" t="e">
            <v>#N/A</v>
          </cell>
          <cell r="VQ4" t="e">
            <v>#N/A</v>
          </cell>
          <cell r="VT4" t="e">
            <v>#N/A</v>
          </cell>
          <cell r="VU4" t="e">
            <v>#N/A</v>
          </cell>
        </row>
        <row r="5">
          <cell r="A5" t="str">
            <v>+ 1874</v>
          </cell>
          <cell r="I5">
            <v>2</v>
          </cell>
          <cell r="J5" t="str">
            <v>+ 2</v>
          </cell>
          <cell r="GA5">
            <v>0</v>
          </cell>
          <cell r="GB5" t="str">
            <v/>
          </cell>
          <cell r="GE5">
            <v>0</v>
          </cell>
          <cell r="GF5" t="str">
            <v/>
          </cell>
          <cell r="GI5">
            <v>2</v>
          </cell>
          <cell r="GJ5" t="str">
            <v>+ F R KHANS ENTERPRISES</v>
          </cell>
          <cell r="GM5">
            <v>0</v>
          </cell>
          <cell r="GN5" t="str">
            <v/>
          </cell>
          <cell r="GQ5">
            <v>0</v>
          </cell>
          <cell r="GR5" t="str">
            <v/>
          </cell>
          <cell r="GU5">
            <v>0</v>
          </cell>
          <cell r="GV5" t="str">
            <v/>
          </cell>
          <cell r="GY5">
            <v>0</v>
          </cell>
          <cell r="GZ5" t="str">
            <v/>
          </cell>
          <cell r="HC5">
            <v>0</v>
          </cell>
          <cell r="HD5" t="str">
            <v/>
          </cell>
          <cell r="HG5">
            <v>0</v>
          </cell>
          <cell r="HH5" t="str">
            <v/>
          </cell>
          <cell r="HK5">
            <v>0</v>
          </cell>
          <cell r="HL5" t="str">
            <v/>
          </cell>
          <cell r="HO5">
            <v>0</v>
          </cell>
          <cell r="HP5" t="str">
            <v/>
          </cell>
          <cell r="HS5">
            <v>0</v>
          </cell>
          <cell r="HT5" t="str">
            <v/>
          </cell>
          <cell r="HW5">
            <v>0</v>
          </cell>
          <cell r="HX5" t="str">
            <v/>
          </cell>
          <cell r="IA5">
            <v>0</v>
          </cell>
          <cell r="IB5" t="str">
            <v/>
          </cell>
          <cell r="IE5">
            <v>0</v>
          </cell>
          <cell r="IF5" t="str">
            <v/>
          </cell>
          <cell r="II5">
            <v>0</v>
          </cell>
          <cell r="IJ5" t="str">
            <v/>
          </cell>
          <cell r="IM5">
            <v>0</v>
          </cell>
          <cell r="IN5" t="str">
            <v/>
          </cell>
          <cell r="IQ5">
            <v>0</v>
          </cell>
          <cell r="IR5" t="str">
            <v/>
          </cell>
          <cell r="IU5">
            <v>0</v>
          </cell>
          <cell r="IV5" t="str">
            <v/>
          </cell>
          <cell r="IY5">
            <v>0</v>
          </cell>
          <cell r="IZ5" t="str">
            <v/>
          </cell>
          <cell r="JC5">
            <v>0</v>
          </cell>
          <cell r="JD5" t="str">
            <v/>
          </cell>
          <cell r="JG5">
            <v>0</v>
          </cell>
          <cell r="JH5" t="str">
            <v/>
          </cell>
          <cell r="JK5">
            <v>0</v>
          </cell>
          <cell r="JL5" t="str">
            <v/>
          </cell>
          <cell r="JO5" t="e">
            <v>#N/A</v>
          </cell>
          <cell r="JP5" t="e">
            <v>#N/A</v>
          </cell>
          <cell r="JS5" t="e">
            <v>#N/A</v>
          </cell>
          <cell r="JT5" t="e">
            <v>#N/A</v>
          </cell>
          <cell r="JW5">
            <v>0</v>
          </cell>
          <cell r="JX5" t="str">
            <v/>
          </cell>
          <cell r="KA5" t="e">
            <v>#N/A</v>
          </cell>
          <cell r="KB5" t="e">
            <v>#N/A</v>
          </cell>
          <cell r="KE5" t="e">
            <v>#N/A</v>
          </cell>
          <cell r="KF5" t="e">
            <v>#N/A</v>
          </cell>
          <cell r="KI5">
            <v>0</v>
          </cell>
          <cell r="KJ5" t="str">
            <v/>
          </cell>
          <cell r="KM5">
            <v>0</v>
          </cell>
          <cell r="KN5" t="str">
            <v/>
          </cell>
          <cell r="KQ5">
            <v>0</v>
          </cell>
          <cell r="KR5" t="str">
            <v/>
          </cell>
          <cell r="KU5" t="e">
            <v>#N/A</v>
          </cell>
          <cell r="KV5" t="e">
            <v>#N/A</v>
          </cell>
          <cell r="KY5" t="e">
            <v>#N/A</v>
          </cell>
          <cell r="KZ5" t="e">
            <v>#N/A</v>
          </cell>
          <cell r="LC5" t="e">
            <v>#N/A</v>
          </cell>
          <cell r="LD5" t="e">
            <v>#N/A</v>
          </cell>
          <cell r="LG5">
            <v>2</v>
          </cell>
          <cell r="LH5">
            <v>1874</v>
          </cell>
          <cell r="LK5">
            <v>2</v>
          </cell>
          <cell r="LL5" t="str">
            <v>F R KHANS ENTERPRISES</v>
          </cell>
          <cell r="LO5">
            <v>2</v>
          </cell>
          <cell r="LP5" t="str">
            <v>SCRAP 80MM² AAAC EARTHWIRE</v>
          </cell>
          <cell r="LS5">
            <v>2</v>
          </cell>
          <cell r="LT5">
            <v>21978</v>
          </cell>
          <cell r="LW5">
            <v>2</v>
          </cell>
          <cell r="LX5">
            <v>2</v>
          </cell>
          <cell r="MA5">
            <v>2</v>
          </cell>
          <cell r="MB5" t="str">
            <v>MT</v>
          </cell>
          <cell r="ME5">
            <v>2</v>
          </cell>
          <cell r="MF5">
            <v>227</v>
          </cell>
          <cell r="MI5">
            <v>2</v>
          </cell>
          <cell r="MJ5">
            <v>17500</v>
          </cell>
          <cell r="MM5">
            <v>2</v>
          </cell>
          <cell r="MN5">
            <v>3150</v>
          </cell>
          <cell r="MQ5">
            <v>2</v>
          </cell>
          <cell r="MR5">
            <v>20650</v>
          </cell>
          <cell r="MU5">
            <v>2</v>
          </cell>
          <cell r="MV5">
            <v>413</v>
          </cell>
          <cell r="MY5">
            <v>2</v>
          </cell>
          <cell r="MZ5">
            <v>17.5</v>
          </cell>
          <cell r="NC5">
            <v>2</v>
          </cell>
          <cell r="ND5">
            <v>464.625</v>
          </cell>
          <cell r="NG5">
            <v>2</v>
          </cell>
          <cell r="NH5">
            <v>7.875</v>
          </cell>
          <cell r="NK5">
            <v>2</v>
          </cell>
          <cell r="NL5">
            <v>456.75</v>
          </cell>
          <cell r="NO5">
            <v>2</v>
          </cell>
          <cell r="NP5">
            <v>474</v>
          </cell>
          <cell r="NS5">
            <v>2</v>
          </cell>
          <cell r="NT5">
            <v>0.02</v>
          </cell>
          <cell r="NW5">
            <v>2</v>
          </cell>
          <cell r="NX5">
            <v>10988</v>
          </cell>
          <cell r="OA5">
            <v>2</v>
          </cell>
          <cell r="OB5">
            <v>20589</v>
          </cell>
          <cell r="OE5">
            <v>2</v>
          </cell>
          <cell r="OF5">
            <v>4375</v>
          </cell>
          <cell r="OI5">
            <v>2</v>
          </cell>
          <cell r="OJ5">
            <v>4375</v>
          </cell>
          <cell r="OM5">
            <v>2</v>
          </cell>
          <cell r="ON5" t="str">
            <v>11.08.2026</v>
          </cell>
          <cell r="OQ5">
            <v>2</v>
          </cell>
          <cell r="OR5">
            <v>16214</v>
          </cell>
          <cell r="OU5" t="e">
            <v>#N/A</v>
          </cell>
          <cell r="OV5" t="e">
            <v>#N/A</v>
          </cell>
          <cell r="OY5" t="e">
            <v>#N/A</v>
          </cell>
          <cell r="OZ5" t="e">
            <v>#N/A</v>
          </cell>
          <cell r="PC5">
            <v>2</v>
          </cell>
          <cell r="PD5">
            <v>619.5</v>
          </cell>
          <cell r="PG5" t="e">
            <v>#N/A</v>
          </cell>
          <cell r="PH5" t="e">
            <v>#N/A</v>
          </cell>
          <cell r="PK5" t="e">
            <v>#N/A</v>
          </cell>
          <cell r="PL5" t="e">
            <v>#N/A</v>
          </cell>
          <cell r="PO5">
            <v>2</v>
          </cell>
          <cell r="PP5">
            <v>18117</v>
          </cell>
          <cell r="PS5">
            <v>2</v>
          </cell>
          <cell r="PT5">
            <v>-708</v>
          </cell>
          <cell r="PW5">
            <v>1</v>
          </cell>
          <cell r="PX5" t="str">
            <v/>
          </cell>
          <cell r="QA5" t="e">
            <v>#N/A</v>
          </cell>
          <cell r="QB5" t="e">
            <v>#N/A</v>
          </cell>
          <cell r="QE5" t="e">
            <v>#N/A</v>
          </cell>
          <cell r="QF5" t="e">
            <v>#N/A</v>
          </cell>
          <cell r="QI5" t="e">
            <v>#N/A</v>
          </cell>
          <cell r="QJ5" t="e">
            <v>#N/A</v>
          </cell>
          <cell r="QR5">
            <v>2</v>
          </cell>
          <cell r="QS5">
            <v>2</v>
          </cell>
          <cell r="QV5">
            <v>2</v>
          </cell>
          <cell r="QW5" t="str">
            <v>SCRAP 80MM² AAAC EARTHWIRE</v>
          </cell>
          <cell r="QZ5">
            <v>2</v>
          </cell>
          <cell r="RA5">
            <v>227</v>
          </cell>
          <cell r="RD5">
            <v>2</v>
          </cell>
          <cell r="RE5">
            <v>21978</v>
          </cell>
          <cell r="RH5">
            <v>2</v>
          </cell>
          <cell r="RI5" t="str">
            <v>MT</v>
          </cell>
          <cell r="RL5">
            <v>2</v>
          </cell>
          <cell r="RM5">
            <v>1874</v>
          </cell>
          <cell r="RP5">
            <v>2</v>
          </cell>
          <cell r="RQ5" t="str">
            <v>F R KHANS ENTERPRISES</v>
          </cell>
          <cell r="RT5">
            <v>2</v>
          </cell>
          <cell r="RU5">
            <v>17500</v>
          </cell>
          <cell r="RX5">
            <v>2</v>
          </cell>
          <cell r="RY5">
            <v>3150</v>
          </cell>
          <cell r="SB5">
            <v>2</v>
          </cell>
          <cell r="SC5">
            <v>20650</v>
          </cell>
          <cell r="SF5">
            <v>2</v>
          </cell>
          <cell r="SG5">
            <v>413</v>
          </cell>
          <cell r="SJ5">
            <v>2</v>
          </cell>
          <cell r="SK5">
            <v>17.5</v>
          </cell>
          <cell r="SN5">
            <v>2</v>
          </cell>
          <cell r="SO5">
            <v>464.625</v>
          </cell>
          <cell r="SR5">
            <v>2</v>
          </cell>
          <cell r="SS5">
            <v>7.875</v>
          </cell>
          <cell r="SV5">
            <v>2</v>
          </cell>
          <cell r="SW5">
            <v>456.75</v>
          </cell>
          <cell r="SZ5">
            <v>2</v>
          </cell>
          <cell r="TA5">
            <v>474</v>
          </cell>
          <cell r="TD5">
            <v>2</v>
          </cell>
          <cell r="TE5">
            <v>0.02</v>
          </cell>
          <cell r="TH5">
            <v>2</v>
          </cell>
          <cell r="TI5">
            <v>10988</v>
          </cell>
          <cell r="TL5">
            <v>2</v>
          </cell>
          <cell r="TM5">
            <v>20589</v>
          </cell>
          <cell r="TP5">
            <v>2</v>
          </cell>
          <cell r="TQ5">
            <v>4375</v>
          </cell>
          <cell r="TT5">
            <v>2</v>
          </cell>
          <cell r="TU5">
            <v>4375</v>
          </cell>
          <cell r="TX5">
            <v>2</v>
          </cell>
          <cell r="TY5" t="str">
            <v>11.08.2026</v>
          </cell>
          <cell r="UB5">
            <v>2</v>
          </cell>
          <cell r="UC5">
            <v>16214</v>
          </cell>
          <cell r="UF5" t="e">
            <v>#N/A</v>
          </cell>
          <cell r="UG5" t="e">
            <v>#N/A</v>
          </cell>
          <cell r="UJ5" t="e">
            <v>#N/A</v>
          </cell>
          <cell r="UK5" t="e">
            <v>#N/A</v>
          </cell>
          <cell r="UN5">
            <v>2</v>
          </cell>
          <cell r="UO5">
            <v>619.5</v>
          </cell>
          <cell r="UR5" t="e">
            <v>#N/A</v>
          </cell>
          <cell r="US5" t="e">
            <v>#N/A</v>
          </cell>
          <cell r="UV5" t="e">
            <v>#N/A</v>
          </cell>
          <cell r="UW5" t="e">
            <v>#N/A</v>
          </cell>
          <cell r="UZ5">
            <v>2</v>
          </cell>
          <cell r="VA5">
            <v>18117</v>
          </cell>
          <cell r="VD5">
            <v>2</v>
          </cell>
          <cell r="VE5">
            <v>-708</v>
          </cell>
          <cell r="VH5" t="e">
            <v>#N/A</v>
          </cell>
          <cell r="VI5" t="e">
            <v>#N/A</v>
          </cell>
          <cell r="VL5" t="e">
            <v>#N/A</v>
          </cell>
          <cell r="VM5" t="e">
            <v>#N/A</v>
          </cell>
          <cell r="VP5" t="e">
            <v>#N/A</v>
          </cell>
          <cell r="VQ5" t="e">
            <v>#N/A</v>
          </cell>
          <cell r="VT5" t="e">
            <v>#N/A</v>
          </cell>
          <cell r="VU5" t="e">
            <v>#N/A</v>
          </cell>
        </row>
        <row r="6">
          <cell r="A6" t="str">
            <v>+ 1875</v>
          </cell>
          <cell r="I6">
            <v>3</v>
          </cell>
          <cell r="J6" t="str">
            <v>+ 3</v>
          </cell>
          <cell r="GA6">
            <v>0</v>
          </cell>
          <cell r="GB6" t="str">
            <v/>
          </cell>
          <cell r="GE6">
            <v>0</v>
          </cell>
          <cell r="GF6" t="str">
            <v/>
          </cell>
          <cell r="GI6">
            <v>3</v>
          </cell>
          <cell r="GJ6" t="str">
            <v>+ HIND TRADERS</v>
          </cell>
          <cell r="GM6">
            <v>0</v>
          </cell>
          <cell r="GN6" t="str">
            <v/>
          </cell>
          <cell r="GQ6">
            <v>0</v>
          </cell>
          <cell r="GR6" t="str">
            <v/>
          </cell>
          <cell r="GU6">
            <v>0</v>
          </cell>
          <cell r="GV6" t="str">
            <v/>
          </cell>
          <cell r="GY6">
            <v>0</v>
          </cell>
          <cell r="GZ6" t="str">
            <v/>
          </cell>
          <cell r="HC6">
            <v>0</v>
          </cell>
          <cell r="HD6" t="str">
            <v/>
          </cell>
          <cell r="HG6">
            <v>0</v>
          </cell>
          <cell r="HH6" t="str">
            <v/>
          </cell>
          <cell r="HK6">
            <v>0</v>
          </cell>
          <cell r="HL6" t="str">
            <v/>
          </cell>
          <cell r="HO6">
            <v>0</v>
          </cell>
          <cell r="HP6" t="str">
            <v/>
          </cell>
          <cell r="HS6">
            <v>0</v>
          </cell>
          <cell r="HT6" t="str">
            <v/>
          </cell>
          <cell r="HW6">
            <v>0</v>
          </cell>
          <cell r="HX6" t="str">
            <v/>
          </cell>
          <cell r="IA6">
            <v>0</v>
          </cell>
          <cell r="IB6" t="str">
            <v/>
          </cell>
          <cell r="IE6">
            <v>0</v>
          </cell>
          <cell r="IF6" t="str">
            <v/>
          </cell>
          <cell r="II6">
            <v>0</v>
          </cell>
          <cell r="IJ6" t="str">
            <v/>
          </cell>
          <cell r="IM6">
            <v>0</v>
          </cell>
          <cell r="IN6" t="str">
            <v/>
          </cell>
          <cell r="IQ6">
            <v>0</v>
          </cell>
          <cell r="IR6" t="str">
            <v/>
          </cell>
          <cell r="IU6">
            <v>0</v>
          </cell>
          <cell r="IV6" t="str">
            <v/>
          </cell>
          <cell r="IY6">
            <v>0</v>
          </cell>
          <cell r="IZ6" t="str">
            <v/>
          </cell>
          <cell r="JC6">
            <v>0</v>
          </cell>
          <cell r="JD6" t="str">
            <v/>
          </cell>
          <cell r="JG6">
            <v>0</v>
          </cell>
          <cell r="JH6" t="str">
            <v/>
          </cell>
          <cell r="JK6">
            <v>0</v>
          </cell>
          <cell r="JL6" t="str">
            <v/>
          </cell>
          <cell r="JO6" t="e">
            <v>#N/A</v>
          </cell>
          <cell r="JP6" t="e">
            <v>#N/A</v>
          </cell>
          <cell r="JS6" t="e">
            <v>#N/A</v>
          </cell>
          <cell r="JT6" t="e">
            <v>#N/A</v>
          </cell>
          <cell r="JW6">
            <v>0</v>
          </cell>
          <cell r="JX6" t="str">
            <v/>
          </cell>
          <cell r="KA6" t="e">
            <v>#N/A</v>
          </cell>
          <cell r="KB6" t="e">
            <v>#N/A</v>
          </cell>
          <cell r="KE6" t="e">
            <v>#N/A</v>
          </cell>
          <cell r="KF6" t="e">
            <v>#N/A</v>
          </cell>
          <cell r="KI6">
            <v>0</v>
          </cell>
          <cell r="KJ6" t="str">
            <v/>
          </cell>
          <cell r="KM6">
            <v>0</v>
          </cell>
          <cell r="KN6" t="str">
            <v/>
          </cell>
          <cell r="KQ6">
            <v>0</v>
          </cell>
          <cell r="KR6" t="str">
            <v/>
          </cell>
          <cell r="KU6" t="e">
            <v>#N/A</v>
          </cell>
          <cell r="KV6" t="e">
            <v>#N/A</v>
          </cell>
          <cell r="KY6" t="e">
            <v>#N/A</v>
          </cell>
          <cell r="KZ6" t="e">
            <v>#N/A</v>
          </cell>
          <cell r="LC6" t="e">
            <v>#N/A</v>
          </cell>
          <cell r="LD6" t="e">
            <v>#N/A</v>
          </cell>
          <cell r="LG6">
            <v>3</v>
          </cell>
          <cell r="LH6">
            <v>1875</v>
          </cell>
          <cell r="LK6">
            <v>3</v>
          </cell>
          <cell r="LL6" t="str">
            <v>HIND TRADERS</v>
          </cell>
          <cell r="LO6">
            <v>3</v>
          </cell>
          <cell r="LP6" t="str">
            <v>SCRAP ACSR CONDUCTORS (Conductor Pieces)</v>
          </cell>
          <cell r="LS6">
            <v>3</v>
          </cell>
          <cell r="LT6">
            <v>21979</v>
          </cell>
          <cell r="LW6">
            <v>3</v>
          </cell>
          <cell r="LX6">
            <v>3</v>
          </cell>
          <cell r="MA6">
            <v>3</v>
          </cell>
          <cell r="MB6" t="str">
            <v>NO</v>
          </cell>
          <cell r="ME6">
            <v>3</v>
          </cell>
          <cell r="MF6">
            <v>309</v>
          </cell>
          <cell r="MI6">
            <v>3</v>
          </cell>
          <cell r="MJ6">
            <v>21060</v>
          </cell>
          <cell r="MM6">
            <v>3</v>
          </cell>
          <cell r="MN6">
            <v>3791</v>
          </cell>
          <cell r="MQ6">
            <v>3</v>
          </cell>
          <cell r="MR6">
            <v>24851</v>
          </cell>
          <cell r="MU6">
            <v>3</v>
          </cell>
          <cell r="MV6">
            <v>497</v>
          </cell>
          <cell r="MY6">
            <v>3</v>
          </cell>
          <cell r="MZ6">
            <v>21.06</v>
          </cell>
          <cell r="NC6">
            <v>3</v>
          </cell>
          <cell r="ND6">
            <v>559.14299999999992</v>
          </cell>
          <cell r="NG6">
            <v>3</v>
          </cell>
          <cell r="NH6">
            <v>9.4770000000000003</v>
          </cell>
          <cell r="NK6">
            <v>3</v>
          </cell>
          <cell r="NL6">
            <v>549.66599999999994</v>
          </cell>
          <cell r="NO6">
            <v>3</v>
          </cell>
          <cell r="NP6">
            <v>571</v>
          </cell>
          <cell r="NS6">
            <v>2</v>
          </cell>
          <cell r="NT6" t="str">
            <v/>
          </cell>
          <cell r="NW6">
            <v>3</v>
          </cell>
          <cell r="NX6">
            <v>15802</v>
          </cell>
          <cell r="OA6">
            <v>3</v>
          </cell>
          <cell r="OB6">
            <v>24777</v>
          </cell>
          <cell r="OE6">
            <v>3</v>
          </cell>
          <cell r="OF6">
            <v>5265</v>
          </cell>
          <cell r="OI6">
            <v>3</v>
          </cell>
          <cell r="OJ6">
            <v>5265</v>
          </cell>
          <cell r="OM6">
            <v>3</v>
          </cell>
          <cell r="ON6" t="str">
            <v>13.08.2026</v>
          </cell>
          <cell r="OQ6">
            <v>3</v>
          </cell>
          <cell r="OR6">
            <v>19512</v>
          </cell>
          <cell r="OU6" t="e">
            <v>#N/A</v>
          </cell>
          <cell r="OV6" t="e">
            <v>#N/A</v>
          </cell>
          <cell r="OY6" t="e">
            <v>#N/A</v>
          </cell>
          <cell r="OZ6" t="e">
            <v>#N/A</v>
          </cell>
          <cell r="PC6">
            <v>3</v>
          </cell>
          <cell r="PD6">
            <v>708.28319999999997</v>
          </cell>
          <cell r="PG6" t="e">
            <v>#N/A</v>
          </cell>
          <cell r="PH6" t="e">
            <v>#N/A</v>
          </cell>
          <cell r="PK6" t="e">
            <v>#N/A</v>
          </cell>
          <cell r="PL6" t="e">
            <v>#N/A</v>
          </cell>
          <cell r="PO6">
            <v>3</v>
          </cell>
          <cell r="PP6">
            <v>20589</v>
          </cell>
          <cell r="PS6">
            <v>3</v>
          </cell>
          <cell r="PT6">
            <v>-48</v>
          </cell>
          <cell r="PW6">
            <v>1</v>
          </cell>
          <cell r="PX6" t="str">
            <v/>
          </cell>
          <cell r="QA6" t="e">
            <v>#N/A</v>
          </cell>
          <cell r="QB6" t="e">
            <v>#N/A</v>
          </cell>
          <cell r="QE6" t="e">
            <v>#N/A</v>
          </cell>
          <cell r="QF6" t="e">
            <v>#N/A</v>
          </cell>
          <cell r="QI6" t="e">
            <v>#N/A</v>
          </cell>
          <cell r="QJ6" t="e">
            <v>#N/A</v>
          </cell>
          <cell r="QR6">
            <v>3</v>
          </cell>
          <cell r="QS6">
            <v>3</v>
          </cell>
          <cell r="QV6">
            <v>3</v>
          </cell>
          <cell r="QW6" t="str">
            <v>SCRAP ACSR CONDUCTORS (Conductor Pieces)</v>
          </cell>
          <cell r="QZ6">
            <v>3</v>
          </cell>
          <cell r="RA6">
            <v>309</v>
          </cell>
          <cell r="RD6">
            <v>3</v>
          </cell>
          <cell r="RE6">
            <v>21979</v>
          </cell>
          <cell r="RH6">
            <v>3</v>
          </cell>
          <cell r="RI6" t="str">
            <v>NO</v>
          </cell>
          <cell r="RL6">
            <v>3</v>
          </cell>
          <cell r="RM6">
            <v>1875</v>
          </cell>
          <cell r="RP6">
            <v>3</v>
          </cell>
          <cell r="RQ6" t="str">
            <v>HIND TRADERS</v>
          </cell>
          <cell r="RT6">
            <v>3</v>
          </cell>
          <cell r="RU6">
            <v>21060</v>
          </cell>
          <cell r="RX6">
            <v>3</v>
          </cell>
          <cell r="RY6">
            <v>3791</v>
          </cell>
          <cell r="SB6">
            <v>3</v>
          </cell>
          <cell r="SC6">
            <v>24851</v>
          </cell>
          <cell r="SF6">
            <v>3</v>
          </cell>
          <cell r="SG6">
            <v>497</v>
          </cell>
          <cell r="SJ6">
            <v>3</v>
          </cell>
          <cell r="SK6">
            <v>21.06</v>
          </cell>
          <cell r="SN6">
            <v>3</v>
          </cell>
          <cell r="SO6">
            <v>559.14299999999992</v>
          </cell>
          <cell r="SR6">
            <v>3</v>
          </cell>
          <cell r="SS6">
            <v>9.4770000000000003</v>
          </cell>
          <cell r="SV6">
            <v>3</v>
          </cell>
          <cell r="SW6">
            <v>549.66599999999994</v>
          </cell>
          <cell r="SZ6">
            <v>3</v>
          </cell>
          <cell r="TA6">
            <v>571</v>
          </cell>
          <cell r="TD6">
            <v>2</v>
          </cell>
          <cell r="TE6" t="str">
            <v/>
          </cell>
          <cell r="TH6">
            <v>3</v>
          </cell>
          <cell r="TI6">
            <v>15802</v>
          </cell>
          <cell r="TL6">
            <v>3</v>
          </cell>
          <cell r="TM6">
            <v>24777</v>
          </cell>
          <cell r="TP6">
            <v>3</v>
          </cell>
          <cell r="TQ6">
            <v>5265</v>
          </cell>
          <cell r="TT6">
            <v>3</v>
          </cell>
          <cell r="TU6">
            <v>5265</v>
          </cell>
          <cell r="TX6">
            <v>3</v>
          </cell>
          <cell r="TY6" t="str">
            <v>13.08.2026</v>
          </cell>
          <cell r="UB6">
            <v>3</v>
          </cell>
          <cell r="UC6">
            <v>19512</v>
          </cell>
          <cell r="UF6" t="e">
            <v>#N/A</v>
          </cell>
          <cell r="UG6" t="e">
            <v>#N/A</v>
          </cell>
          <cell r="UJ6" t="e">
            <v>#N/A</v>
          </cell>
          <cell r="UK6" t="e">
            <v>#N/A</v>
          </cell>
          <cell r="UN6">
            <v>3</v>
          </cell>
          <cell r="UO6">
            <v>708.28319999999997</v>
          </cell>
          <cell r="UR6" t="e">
            <v>#N/A</v>
          </cell>
          <cell r="US6" t="e">
            <v>#N/A</v>
          </cell>
          <cell r="UV6" t="e">
            <v>#N/A</v>
          </cell>
          <cell r="UW6" t="e">
            <v>#N/A</v>
          </cell>
          <cell r="UZ6">
            <v>3</v>
          </cell>
          <cell r="VA6">
            <v>20589</v>
          </cell>
          <cell r="VD6">
            <v>3</v>
          </cell>
          <cell r="VE6">
            <v>-48</v>
          </cell>
          <cell r="VH6" t="e">
            <v>#N/A</v>
          </cell>
          <cell r="VI6" t="e">
            <v>#N/A</v>
          </cell>
          <cell r="VL6" t="e">
            <v>#N/A</v>
          </cell>
          <cell r="VM6" t="e">
            <v>#N/A</v>
          </cell>
          <cell r="VP6" t="e">
            <v>#N/A</v>
          </cell>
          <cell r="VQ6" t="e">
            <v>#N/A</v>
          </cell>
          <cell r="VT6" t="e">
            <v>#N/A</v>
          </cell>
          <cell r="VU6" t="e">
            <v>#N/A</v>
          </cell>
        </row>
        <row r="7">
          <cell r="A7" t="str">
            <v>+ 1876</v>
          </cell>
          <cell r="I7">
            <v>4</v>
          </cell>
          <cell r="J7" t="str">
            <v>+ 4</v>
          </cell>
          <cell r="GA7">
            <v>0</v>
          </cell>
          <cell r="GB7" t="str">
            <v/>
          </cell>
          <cell r="GE7">
            <v>0</v>
          </cell>
          <cell r="GF7" t="str">
            <v/>
          </cell>
          <cell r="GI7">
            <v>4</v>
          </cell>
          <cell r="GJ7" t="str">
            <v>+ KASHYAP TRADING CO</v>
          </cell>
          <cell r="GM7">
            <v>0</v>
          </cell>
          <cell r="GN7" t="str">
            <v/>
          </cell>
          <cell r="GQ7">
            <v>0</v>
          </cell>
          <cell r="GR7" t="str">
            <v/>
          </cell>
          <cell r="GU7">
            <v>0</v>
          </cell>
          <cell r="GV7" t="str">
            <v/>
          </cell>
          <cell r="GY7">
            <v>0</v>
          </cell>
          <cell r="GZ7" t="str">
            <v/>
          </cell>
          <cell r="HC7">
            <v>0</v>
          </cell>
          <cell r="HD7" t="str">
            <v/>
          </cell>
          <cell r="HG7">
            <v>0</v>
          </cell>
          <cell r="HH7" t="str">
            <v/>
          </cell>
          <cell r="HK7">
            <v>0</v>
          </cell>
          <cell r="HL7" t="str">
            <v/>
          </cell>
          <cell r="HO7">
            <v>0</v>
          </cell>
          <cell r="HP7" t="str">
            <v/>
          </cell>
          <cell r="HS7">
            <v>0</v>
          </cell>
          <cell r="HT7" t="str">
            <v/>
          </cell>
          <cell r="HW7">
            <v>0</v>
          </cell>
          <cell r="HX7" t="str">
            <v/>
          </cell>
          <cell r="IA7">
            <v>0</v>
          </cell>
          <cell r="IB7" t="str">
            <v/>
          </cell>
          <cell r="IE7">
            <v>0</v>
          </cell>
          <cell r="IF7" t="str">
            <v/>
          </cell>
          <cell r="II7">
            <v>0</v>
          </cell>
          <cell r="IJ7" t="str">
            <v/>
          </cell>
          <cell r="IM7">
            <v>0</v>
          </cell>
          <cell r="IN7" t="str">
            <v/>
          </cell>
          <cell r="IQ7">
            <v>0</v>
          </cell>
          <cell r="IR7" t="str">
            <v/>
          </cell>
          <cell r="IU7">
            <v>0</v>
          </cell>
          <cell r="IV7" t="str">
            <v/>
          </cell>
          <cell r="IY7">
            <v>0</v>
          </cell>
          <cell r="IZ7" t="str">
            <v/>
          </cell>
          <cell r="JC7">
            <v>0</v>
          </cell>
          <cell r="JD7" t="str">
            <v/>
          </cell>
          <cell r="JG7">
            <v>0</v>
          </cell>
          <cell r="JH7" t="str">
            <v/>
          </cell>
          <cell r="JK7">
            <v>0</v>
          </cell>
          <cell r="JL7" t="str">
            <v/>
          </cell>
          <cell r="JO7" t="e">
            <v>#N/A</v>
          </cell>
          <cell r="JP7" t="e">
            <v>#N/A</v>
          </cell>
          <cell r="JS7" t="e">
            <v>#N/A</v>
          </cell>
          <cell r="JT7" t="e">
            <v>#N/A</v>
          </cell>
          <cell r="JW7">
            <v>0</v>
          </cell>
          <cell r="JX7" t="str">
            <v/>
          </cell>
          <cell r="KA7" t="e">
            <v>#N/A</v>
          </cell>
          <cell r="KB7" t="e">
            <v>#N/A</v>
          </cell>
          <cell r="KE7" t="e">
            <v>#N/A</v>
          </cell>
          <cell r="KF7" t="e">
            <v>#N/A</v>
          </cell>
          <cell r="KI7">
            <v>0</v>
          </cell>
          <cell r="KJ7" t="str">
            <v/>
          </cell>
          <cell r="KM7">
            <v>0</v>
          </cell>
          <cell r="KN7" t="str">
            <v/>
          </cell>
          <cell r="KQ7">
            <v>0</v>
          </cell>
          <cell r="KR7" t="str">
            <v/>
          </cell>
          <cell r="KU7" t="e">
            <v>#N/A</v>
          </cell>
          <cell r="KV7" t="e">
            <v>#N/A</v>
          </cell>
          <cell r="KY7" t="e">
            <v>#N/A</v>
          </cell>
          <cell r="KZ7" t="e">
            <v>#N/A</v>
          </cell>
          <cell r="LC7" t="e">
            <v>#N/A</v>
          </cell>
          <cell r="LD7" t="e">
            <v>#N/A</v>
          </cell>
          <cell r="LG7">
            <v>4</v>
          </cell>
          <cell r="LH7">
            <v>1876</v>
          </cell>
          <cell r="LK7">
            <v>4</v>
          </cell>
          <cell r="LL7" t="str">
            <v>KASHYAP TRADING CO</v>
          </cell>
          <cell r="LO7">
            <v>4</v>
          </cell>
          <cell r="LP7" t="str">
            <v>SCRAP COPPER OF T/F WINDING (Oil impregnated paper insulated T/F winding)</v>
          </cell>
          <cell r="LS7">
            <v>4</v>
          </cell>
          <cell r="LT7">
            <v>21980</v>
          </cell>
          <cell r="LW7">
            <v>4</v>
          </cell>
          <cell r="LX7">
            <v>4</v>
          </cell>
          <cell r="MA7">
            <v>3</v>
          </cell>
          <cell r="MB7" t="str">
            <v/>
          </cell>
          <cell r="ME7">
            <v>4</v>
          </cell>
          <cell r="MF7">
            <v>333</v>
          </cell>
          <cell r="MI7">
            <v>4</v>
          </cell>
          <cell r="MJ7">
            <v>26550</v>
          </cell>
          <cell r="MM7">
            <v>4</v>
          </cell>
          <cell r="MN7">
            <v>4779</v>
          </cell>
          <cell r="MQ7">
            <v>4</v>
          </cell>
          <cell r="MR7">
            <v>31329</v>
          </cell>
          <cell r="MU7">
            <v>4</v>
          </cell>
          <cell r="MV7">
            <v>627</v>
          </cell>
          <cell r="MY7">
            <v>4</v>
          </cell>
          <cell r="MZ7">
            <v>26.55</v>
          </cell>
          <cell r="NC7">
            <v>4</v>
          </cell>
          <cell r="ND7">
            <v>704.90249999999992</v>
          </cell>
          <cell r="NG7">
            <v>4</v>
          </cell>
          <cell r="NH7">
            <v>11.9475</v>
          </cell>
          <cell r="NK7">
            <v>4</v>
          </cell>
          <cell r="NL7">
            <v>692.95499999999993</v>
          </cell>
          <cell r="NO7">
            <v>4</v>
          </cell>
          <cell r="NP7">
            <v>720</v>
          </cell>
          <cell r="NS7">
            <v>2</v>
          </cell>
          <cell r="NT7" t="str">
            <v/>
          </cell>
          <cell r="NW7">
            <v>4</v>
          </cell>
          <cell r="NX7">
            <v>23310</v>
          </cell>
          <cell r="OA7">
            <v>4</v>
          </cell>
          <cell r="OB7">
            <v>31236</v>
          </cell>
          <cell r="OE7">
            <v>4</v>
          </cell>
          <cell r="OF7">
            <v>6638</v>
          </cell>
          <cell r="OI7">
            <v>4</v>
          </cell>
          <cell r="OJ7">
            <v>6638</v>
          </cell>
          <cell r="OM7">
            <v>4</v>
          </cell>
          <cell r="ON7" t="str">
            <v>14.08.2026</v>
          </cell>
          <cell r="OQ7">
            <v>4</v>
          </cell>
          <cell r="OR7">
            <v>24599</v>
          </cell>
          <cell r="OU7" t="e">
            <v>#N/A</v>
          </cell>
          <cell r="OV7" t="e">
            <v>#N/A</v>
          </cell>
          <cell r="OY7" t="e">
            <v>#N/A</v>
          </cell>
          <cell r="OZ7" t="e">
            <v>#N/A</v>
          </cell>
          <cell r="PC7">
            <v>4</v>
          </cell>
          <cell r="PD7">
            <v>745.52399999999989</v>
          </cell>
          <cell r="PG7" t="e">
            <v>#N/A</v>
          </cell>
          <cell r="PH7" t="e">
            <v>#N/A</v>
          </cell>
          <cell r="PK7" t="e">
            <v>#N/A</v>
          </cell>
          <cell r="PL7" t="e">
            <v>#N/A</v>
          </cell>
          <cell r="PO7">
            <v>4</v>
          </cell>
          <cell r="PP7">
            <v>24777</v>
          </cell>
          <cell r="PS7">
            <v>4</v>
          </cell>
          <cell r="PT7">
            <v>-1.0942916101776063</v>
          </cell>
          <cell r="PW7">
            <v>1</v>
          </cell>
          <cell r="PX7" t="str">
            <v/>
          </cell>
          <cell r="QA7" t="e">
            <v>#N/A</v>
          </cell>
          <cell r="QB7" t="e">
            <v>#N/A</v>
          </cell>
          <cell r="QE7" t="e">
            <v>#N/A</v>
          </cell>
          <cell r="QF7" t="e">
            <v>#N/A</v>
          </cell>
          <cell r="QI7" t="e">
            <v>#N/A</v>
          </cell>
          <cell r="QJ7" t="e">
            <v>#N/A</v>
          </cell>
          <cell r="QR7">
            <v>4</v>
          </cell>
          <cell r="QS7">
            <v>4</v>
          </cell>
          <cell r="QV7">
            <v>4</v>
          </cell>
          <cell r="QW7" t="str">
            <v>SCRAP COPPER OF T/F WINDING (Oil impregnated paper insulated T/F winding)</v>
          </cell>
          <cell r="QZ7">
            <v>4</v>
          </cell>
          <cell r="RA7">
            <v>333</v>
          </cell>
          <cell r="RD7">
            <v>4</v>
          </cell>
          <cell r="RE7">
            <v>21980</v>
          </cell>
          <cell r="RH7">
            <v>3</v>
          </cell>
          <cell r="RI7" t="str">
            <v/>
          </cell>
          <cell r="RL7">
            <v>4</v>
          </cell>
          <cell r="RM7">
            <v>1876</v>
          </cell>
          <cell r="RP7">
            <v>4</v>
          </cell>
          <cell r="RQ7" t="str">
            <v>KASHYAP TRADING CO</v>
          </cell>
          <cell r="RT7">
            <v>4</v>
          </cell>
          <cell r="RU7">
            <v>26550</v>
          </cell>
          <cell r="RX7">
            <v>4</v>
          </cell>
          <cell r="RY7">
            <v>4779</v>
          </cell>
          <cell r="SB7">
            <v>4</v>
          </cell>
          <cell r="SC7">
            <v>31329</v>
          </cell>
          <cell r="SF7">
            <v>4</v>
          </cell>
          <cell r="SG7">
            <v>627</v>
          </cell>
          <cell r="SJ7">
            <v>4</v>
          </cell>
          <cell r="SK7">
            <v>26.55</v>
          </cell>
          <cell r="SN7">
            <v>4</v>
          </cell>
          <cell r="SO7">
            <v>704.90249999999992</v>
          </cell>
          <cell r="SR7">
            <v>4</v>
          </cell>
          <cell r="SS7">
            <v>11.9475</v>
          </cell>
          <cell r="SV7">
            <v>4</v>
          </cell>
          <cell r="SW7">
            <v>692.95499999999993</v>
          </cell>
          <cell r="SZ7">
            <v>4</v>
          </cell>
          <cell r="TA7">
            <v>720</v>
          </cell>
          <cell r="TD7">
            <v>2</v>
          </cell>
          <cell r="TE7" t="str">
            <v/>
          </cell>
          <cell r="TH7">
            <v>4</v>
          </cell>
          <cell r="TI7">
            <v>23310</v>
          </cell>
          <cell r="TL7">
            <v>4</v>
          </cell>
          <cell r="TM7">
            <v>31236</v>
          </cell>
          <cell r="TP7">
            <v>4</v>
          </cell>
          <cell r="TQ7">
            <v>6638</v>
          </cell>
          <cell r="TT7">
            <v>4</v>
          </cell>
          <cell r="TU7">
            <v>6638</v>
          </cell>
          <cell r="TX7">
            <v>4</v>
          </cell>
          <cell r="TY7" t="str">
            <v>14.08.2026</v>
          </cell>
          <cell r="UB7">
            <v>4</v>
          </cell>
          <cell r="UC7">
            <v>24599</v>
          </cell>
          <cell r="UF7" t="e">
            <v>#N/A</v>
          </cell>
          <cell r="UG7" t="e">
            <v>#N/A</v>
          </cell>
          <cell r="UJ7" t="e">
            <v>#N/A</v>
          </cell>
          <cell r="UK7" t="e">
            <v>#N/A</v>
          </cell>
          <cell r="UN7">
            <v>4</v>
          </cell>
          <cell r="UO7">
            <v>745.52399999999989</v>
          </cell>
          <cell r="UR7" t="e">
            <v>#N/A</v>
          </cell>
          <cell r="US7" t="e">
            <v>#N/A</v>
          </cell>
          <cell r="UV7" t="e">
            <v>#N/A</v>
          </cell>
          <cell r="UW7" t="e">
            <v>#N/A</v>
          </cell>
          <cell r="UZ7">
            <v>4</v>
          </cell>
          <cell r="VA7">
            <v>24777</v>
          </cell>
          <cell r="VD7">
            <v>4</v>
          </cell>
          <cell r="VE7">
            <v>-1.0942916101776063</v>
          </cell>
          <cell r="VH7" t="e">
            <v>#N/A</v>
          </cell>
          <cell r="VI7" t="e">
            <v>#N/A</v>
          </cell>
          <cell r="VL7" t="e">
            <v>#N/A</v>
          </cell>
          <cell r="VM7" t="e">
            <v>#N/A</v>
          </cell>
          <cell r="VP7" t="e">
            <v>#N/A</v>
          </cell>
          <cell r="VQ7" t="e">
            <v>#N/A</v>
          </cell>
          <cell r="VT7" t="e">
            <v>#N/A</v>
          </cell>
          <cell r="VU7" t="e">
            <v>#N/A</v>
          </cell>
        </row>
        <row r="8">
          <cell r="A8" t="str">
            <v>+ 1923</v>
          </cell>
          <cell r="I8">
            <v>5</v>
          </cell>
          <cell r="J8" t="str">
            <v>+ 5</v>
          </cell>
          <cell r="GA8">
            <v>0</v>
          </cell>
          <cell r="GB8" t="str">
            <v/>
          </cell>
          <cell r="GE8">
            <v>0</v>
          </cell>
          <cell r="GF8" t="str">
            <v/>
          </cell>
          <cell r="GI8">
            <v>5</v>
          </cell>
          <cell r="GJ8" t="str">
            <v>+ M I SCRAP TRADERS</v>
          </cell>
          <cell r="GM8">
            <v>0</v>
          </cell>
          <cell r="GN8" t="str">
            <v/>
          </cell>
          <cell r="GQ8">
            <v>0</v>
          </cell>
          <cell r="GR8" t="str">
            <v/>
          </cell>
          <cell r="GU8">
            <v>0</v>
          </cell>
          <cell r="GV8" t="str">
            <v/>
          </cell>
          <cell r="GY8">
            <v>0</v>
          </cell>
          <cell r="GZ8" t="str">
            <v/>
          </cell>
          <cell r="HC8">
            <v>0</v>
          </cell>
          <cell r="HD8" t="str">
            <v/>
          </cell>
          <cell r="HG8">
            <v>0</v>
          </cell>
          <cell r="HH8" t="str">
            <v/>
          </cell>
          <cell r="HK8">
            <v>0</v>
          </cell>
          <cell r="HL8" t="str">
            <v/>
          </cell>
          <cell r="HO8">
            <v>0</v>
          </cell>
          <cell r="HP8" t="str">
            <v/>
          </cell>
          <cell r="HS8">
            <v>0</v>
          </cell>
          <cell r="HT8" t="str">
            <v/>
          </cell>
          <cell r="HW8">
            <v>0</v>
          </cell>
          <cell r="HX8" t="str">
            <v/>
          </cell>
          <cell r="IA8">
            <v>0</v>
          </cell>
          <cell r="IB8" t="str">
            <v/>
          </cell>
          <cell r="IE8">
            <v>0</v>
          </cell>
          <cell r="IF8" t="str">
            <v/>
          </cell>
          <cell r="II8">
            <v>0</v>
          </cell>
          <cell r="IJ8" t="str">
            <v/>
          </cell>
          <cell r="IM8">
            <v>0</v>
          </cell>
          <cell r="IN8" t="str">
            <v/>
          </cell>
          <cell r="IQ8">
            <v>0</v>
          </cell>
          <cell r="IR8" t="str">
            <v/>
          </cell>
          <cell r="IU8">
            <v>0</v>
          </cell>
          <cell r="IV8" t="str">
            <v/>
          </cell>
          <cell r="IY8">
            <v>0</v>
          </cell>
          <cell r="IZ8" t="str">
            <v/>
          </cell>
          <cell r="JC8">
            <v>0</v>
          </cell>
          <cell r="JD8" t="str">
            <v/>
          </cell>
          <cell r="JG8">
            <v>0</v>
          </cell>
          <cell r="JH8" t="str">
            <v/>
          </cell>
          <cell r="JK8">
            <v>0</v>
          </cell>
          <cell r="JL8" t="str">
            <v/>
          </cell>
          <cell r="JO8" t="e">
            <v>#N/A</v>
          </cell>
          <cell r="JP8" t="e">
            <v>#N/A</v>
          </cell>
          <cell r="JS8" t="e">
            <v>#N/A</v>
          </cell>
          <cell r="JT8" t="e">
            <v>#N/A</v>
          </cell>
          <cell r="JW8">
            <v>0</v>
          </cell>
          <cell r="JX8" t="str">
            <v/>
          </cell>
          <cell r="KA8" t="e">
            <v>#N/A</v>
          </cell>
          <cell r="KB8" t="e">
            <v>#N/A</v>
          </cell>
          <cell r="KE8" t="e">
            <v>#N/A</v>
          </cell>
          <cell r="KF8" t="e">
            <v>#N/A</v>
          </cell>
          <cell r="KI8">
            <v>0</v>
          </cell>
          <cell r="KJ8" t="str">
            <v/>
          </cell>
          <cell r="KM8">
            <v>0</v>
          </cell>
          <cell r="KN8" t="str">
            <v/>
          </cell>
          <cell r="KQ8">
            <v>0</v>
          </cell>
          <cell r="KR8" t="str">
            <v/>
          </cell>
          <cell r="KU8" t="e">
            <v>#N/A</v>
          </cell>
          <cell r="KV8" t="e">
            <v>#N/A</v>
          </cell>
          <cell r="KY8" t="e">
            <v>#N/A</v>
          </cell>
          <cell r="KZ8" t="e">
            <v>#N/A</v>
          </cell>
          <cell r="LC8" t="e">
            <v>#N/A</v>
          </cell>
          <cell r="LD8" t="e">
            <v>#N/A</v>
          </cell>
          <cell r="LG8">
            <v>5</v>
          </cell>
          <cell r="LH8">
            <v>1923</v>
          </cell>
          <cell r="LK8">
            <v>5</v>
          </cell>
          <cell r="LL8" t="str">
            <v>M I SCRAP TRADERS</v>
          </cell>
          <cell r="LO8">
            <v>5</v>
          </cell>
          <cell r="LP8" t="str">
            <v>Scrap Empty Oil Drum/ Barrel</v>
          </cell>
          <cell r="LS8">
            <v>4</v>
          </cell>
          <cell r="LT8" t="str">
            <v/>
          </cell>
          <cell r="LW8">
            <v>5</v>
          </cell>
          <cell r="LX8">
            <v>5</v>
          </cell>
          <cell r="MA8">
            <v>3</v>
          </cell>
          <cell r="MB8" t="str">
            <v/>
          </cell>
          <cell r="ME8">
            <v>5</v>
          </cell>
          <cell r="MF8">
            <v>517</v>
          </cell>
          <cell r="MI8">
            <v>5</v>
          </cell>
          <cell r="MJ8">
            <v>28002</v>
          </cell>
          <cell r="MM8">
            <v>5</v>
          </cell>
          <cell r="MN8">
            <v>5040</v>
          </cell>
          <cell r="MQ8">
            <v>5</v>
          </cell>
          <cell r="MR8">
            <v>33042</v>
          </cell>
          <cell r="MU8">
            <v>5</v>
          </cell>
          <cell r="MV8">
            <v>661</v>
          </cell>
          <cell r="MY8">
            <v>5</v>
          </cell>
          <cell r="MZ8">
            <v>28.001999999999999</v>
          </cell>
          <cell r="NC8">
            <v>5</v>
          </cell>
          <cell r="ND8">
            <v>743.45309999999995</v>
          </cell>
          <cell r="NG8">
            <v>5</v>
          </cell>
          <cell r="NH8">
            <v>12.600899999999999</v>
          </cell>
          <cell r="NK8">
            <v>5</v>
          </cell>
          <cell r="NL8">
            <v>730.85219999999993</v>
          </cell>
          <cell r="NO8">
            <v>5</v>
          </cell>
          <cell r="NP8">
            <v>759</v>
          </cell>
          <cell r="NS8">
            <v>2</v>
          </cell>
          <cell r="NT8" t="str">
            <v/>
          </cell>
          <cell r="NW8">
            <v>5</v>
          </cell>
          <cell r="NX8">
            <v>32929</v>
          </cell>
          <cell r="OA8">
            <v>5</v>
          </cell>
          <cell r="OB8">
            <v>32944</v>
          </cell>
          <cell r="OE8">
            <v>5</v>
          </cell>
          <cell r="OF8">
            <v>7001</v>
          </cell>
          <cell r="OI8">
            <v>5</v>
          </cell>
          <cell r="OJ8">
            <v>7001</v>
          </cell>
          <cell r="OM8">
            <v>5</v>
          </cell>
          <cell r="ON8" t="str">
            <v>17.08.2026</v>
          </cell>
          <cell r="OQ8">
            <v>5</v>
          </cell>
          <cell r="OR8">
            <v>25944</v>
          </cell>
          <cell r="OU8" t="e">
            <v>#N/A</v>
          </cell>
          <cell r="OV8" t="e">
            <v>#N/A</v>
          </cell>
          <cell r="OY8" t="e">
            <v>#N/A</v>
          </cell>
          <cell r="OZ8" t="e">
            <v>#N/A</v>
          </cell>
          <cell r="PC8">
            <v>5</v>
          </cell>
          <cell r="PD8">
            <v>939.87000000000012</v>
          </cell>
          <cell r="PG8" t="e">
            <v>#N/A</v>
          </cell>
          <cell r="PH8" t="e">
            <v>#N/A</v>
          </cell>
          <cell r="PK8" t="e">
            <v>#N/A</v>
          </cell>
          <cell r="PL8" t="e">
            <v>#N/A</v>
          </cell>
          <cell r="PO8">
            <v>5</v>
          </cell>
          <cell r="PP8">
            <v>31236</v>
          </cell>
          <cell r="PS8">
            <v>5</v>
          </cell>
          <cell r="PT8">
            <v>-1</v>
          </cell>
          <cell r="PW8">
            <v>1</v>
          </cell>
          <cell r="PX8" t="str">
            <v/>
          </cell>
          <cell r="QA8" t="e">
            <v>#N/A</v>
          </cell>
          <cell r="QB8" t="e">
            <v>#N/A</v>
          </cell>
          <cell r="QE8" t="e">
            <v>#N/A</v>
          </cell>
          <cell r="QF8" t="e">
            <v>#N/A</v>
          </cell>
          <cell r="QI8" t="e">
            <v>#N/A</v>
          </cell>
          <cell r="QJ8" t="e">
            <v>#N/A</v>
          </cell>
          <cell r="QR8">
            <v>5</v>
          </cell>
          <cell r="QS8">
            <v>5</v>
          </cell>
          <cell r="QV8">
            <v>5</v>
          </cell>
          <cell r="QW8" t="str">
            <v>Scrap Empty Oil Drum/ Barrel</v>
          </cell>
          <cell r="QZ8">
            <v>5</v>
          </cell>
          <cell r="RA8">
            <v>517</v>
          </cell>
          <cell r="RD8">
            <v>4</v>
          </cell>
          <cell r="RE8" t="str">
            <v/>
          </cell>
          <cell r="RH8">
            <v>3</v>
          </cell>
          <cell r="RI8" t="str">
            <v/>
          </cell>
          <cell r="RL8">
            <v>5</v>
          </cell>
          <cell r="RM8">
            <v>1923</v>
          </cell>
          <cell r="RP8">
            <v>5</v>
          </cell>
          <cell r="RQ8" t="str">
            <v>M I SCRAP TRADERS</v>
          </cell>
          <cell r="RT8">
            <v>5</v>
          </cell>
          <cell r="RU8">
            <v>28002</v>
          </cell>
          <cell r="RX8">
            <v>5</v>
          </cell>
          <cell r="RY8">
            <v>5040</v>
          </cell>
          <cell r="SB8">
            <v>5</v>
          </cell>
          <cell r="SC8">
            <v>33042</v>
          </cell>
          <cell r="SF8">
            <v>5</v>
          </cell>
          <cell r="SG8">
            <v>661</v>
          </cell>
          <cell r="SJ8">
            <v>5</v>
          </cell>
          <cell r="SK8">
            <v>28.001999999999999</v>
          </cell>
          <cell r="SN8">
            <v>5</v>
          </cell>
          <cell r="SO8">
            <v>743.45309999999995</v>
          </cell>
          <cell r="SR8">
            <v>5</v>
          </cell>
          <cell r="SS8">
            <v>12.600899999999999</v>
          </cell>
          <cell r="SV8">
            <v>5</v>
          </cell>
          <cell r="SW8">
            <v>730.85219999999993</v>
          </cell>
          <cell r="SZ8">
            <v>5</v>
          </cell>
          <cell r="TA8">
            <v>759</v>
          </cell>
          <cell r="TD8">
            <v>2</v>
          </cell>
          <cell r="TE8" t="str">
            <v/>
          </cell>
          <cell r="TH8">
            <v>5</v>
          </cell>
          <cell r="TI8">
            <v>32929</v>
          </cell>
          <cell r="TL8">
            <v>5</v>
          </cell>
          <cell r="TM8">
            <v>32944</v>
          </cell>
          <cell r="TP8">
            <v>5</v>
          </cell>
          <cell r="TQ8">
            <v>7001</v>
          </cell>
          <cell r="TT8">
            <v>5</v>
          </cell>
          <cell r="TU8">
            <v>7001</v>
          </cell>
          <cell r="TX8">
            <v>5</v>
          </cell>
          <cell r="TY8" t="str">
            <v>17.08.2026</v>
          </cell>
          <cell r="UB8">
            <v>5</v>
          </cell>
          <cell r="UC8">
            <v>25944</v>
          </cell>
          <cell r="UF8" t="e">
            <v>#N/A</v>
          </cell>
          <cell r="UG8" t="e">
            <v>#N/A</v>
          </cell>
          <cell r="UJ8" t="e">
            <v>#N/A</v>
          </cell>
          <cell r="UK8" t="e">
            <v>#N/A</v>
          </cell>
          <cell r="UN8">
            <v>5</v>
          </cell>
          <cell r="UO8">
            <v>939.87000000000012</v>
          </cell>
          <cell r="UR8" t="e">
            <v>#N/A</v>
          </cell>
          <cell r="US8" t="e">
            <v>#N/A</v>
          </cell>
          <cell r="UV8" t="e">
            <v>#N/A</v>
          </cell>
          <cell r="UW8" t="e">
            <v>#N/A</v>
          </cell>
          <cell r="UZ8">
            <v>5</v>
          </cell>
          <cell r="VA8">
            <v>31236</v>
          </cell>
          <cell r="VD8">
            <v>5</v>
          </cell>
          <cell r="VE8">
            <v>-1</v>
          </cell>
          <cell r="VH8" t="e">
            <v>#N/A</v>
          </cell>
          <cell r="VI8" t="e">
            <v>#N/A</v>
          </cell>
          <cell r="VL8" t="e">
            <v>#N/A</v>
          </cell>
          <cell r="VM8" t="e">
            <v>#N/A</v>
          </cell>
          <cell r="VP8" t="e">
            <v>#N/A</v>
          </cell>
          <cell r="VQ8" t="e">
            <v>#N/A</v>
          </cell>
          <cell r="VT8" t="e">
            <v>#N/A</v>
          </cell>
          <cell r="VU8" t="e">
            <v>#N/A</v>
          </cell>
        </row>
        <row r="9">
          <cell r="A9" t="str">
            <v>+ 1976</v>
          </cell>
          <cell r="I9">
            <v>6</v>
          </cell>
          <cell r="J9" t="str">
            <v>+ 6</v>
          </cell>
          <cell r="GA9">
            <v>0</v>
          </cell>
          <cell r="GB9" t="str">
            <v/>
          </cell>
          <cell r="GE9">
            <v>0</v>
          </cell>
          <cell r="GF9" t="str">
            <v/>
          </cell>
          <cell r="GI9">
            <v>6</v>
          </cell>
          <cell r="GJ9" t="str">
            <v>+ NATIONAL ENTERPRISES</v>
          </cell>
          <cell r="GM9">
            <v>0</v>
          </cell>
          <cell r="GN9" t="str">
            <v/>
          </cell>
          <cell r="GQ9">
            <v>0</v>
          </cell>
          <cell r="GR9" t="str">
            <v/>
          </cell>
          <cell r="GU9">
            <v>0</v>
          </cell>
          <cell r="GV9" t="str">
            <v/>
          </cell>
          <cell r="GY9">
            <v>0</v>
          </cell>
          <cell r="GZ9" t="str">
            <v/>
          </cell>
          <cell r="HC9">
            <v>0</v>
          </cell>
          <cell r="HD9" t="str">
            <v/>
          </cell>
          <cell r="HG9">
            <v>0</v>
          </cell>
          <cell r="HH9" t="str">
            <v/>
          </cell>
          <cell r="HK9">
            <v>0</v>
          </cell>
          <cell r="HL9" t="str">
            <v/>
          </cell>
          <cell r="HO9">
            <v>0</v>
          </cell>
          <cell r="HP9" t="str">
            <v/>
          </cell>
          <cell r="HS9">
            <v>0</v>
          </cell>
          <cell r="HT9" t="str">
            <v/>
          </cell>
          <cell r="HW9">
            <v>0</v>
          </cell>
          <cell r="HX9" t="str">
            <v/>
          </cell>
          <cell r="IA9">
            <v>0</v>
          </cell>
          <cell r="IB9" t="str">
            <v/>
          </cell>
          <cell r="IE9">
            <v>0</v>
          </cell>
          <cell r="IF9" t="str">
            <v/>
          </cell>
          <cell r="II9">
            <v>0</v>
          </cell>
          <cell r="IJ9" t="str">
            <v/>
          </cell>
          <cell r="IM9">
            <v>0</v>
          </cell>
          <cell r="IN9" t="str">
            <v/>
          </cell>
          <cell r="IQ9">
            <v>0</v>
          </cell>
          <cell r="IR9" t="str">
            <v/>
          </cell>
          <cell r="IU9">
            <v>0</v>
          </cell>
          <cell r="IV9" t="str">
            <v/>
          </cell>
          <cell r="IY9">
            <v>0</v>
          </cell>
          <cell r="IZ9" t="str">
            <v/>
          </cell>
          <cell r="JC9">
            <v>0</v>
          </cell>
          <cell r="JD9" t="str">
            <v/>
          </cell>
          <cell r="JG9">
            <v>0</v>
          </cell>
          <cell r="JH9" t="str">
            <v/>
          </cell>
          <cell r="JK9">
            <v>0</v>
          </cell>
          <cell r="JL9" t="str">
            <v/>
          </cell>
          <cell r="JO9" t="e">
            <v>#N/A</v>
          </cell>
          <cell r="JP9" t="e">
            <v>#N/A</v>
          </cell>
          <cell r="JS9" t="e">
            <v>#N/A</v>
          </cell>
          <cell r="JT9" t="e">
            <v>#N/A</v>
          </cell>
          <cell r="JW9">
            <v>0</v>
          </cell>
          <cell r="JX9" t="str">
            <v/>
          </cell>
          <cell r="KA9" t="e">
            <v>#N/A</v>
          </cell>
          <cell r="KB9" t="e">
            <v>#N/A</v>
          </cell>
          <cell r="KE9" t="e">
            <v>#N/A</v>
          </cell>
          <cell r="KF9" t="e">
            <v>#N/A</v>
          </cell>
          <cell r="KI9">
            <v>0</v>
          </cell>
          <cell r="KJ9" t="str">
            <v/>
          </cell>
          <cell r="KM9">
            <v>0</v>
          </cell>
          <cell r="KN9" t="str">
            <v/>
          </cell>
          <cell r="KQ9">
            <v>0</v>
          </cell>
          <cell r="KR9" t="str">
            <v/>
          </cell>
          <cell r="KU9" t="e">
            <v>#N/A</v>
          </cell>
          <cell r="KV9" t="e">
            <v>#N/A</v>
          </cell>
          <cell r="KY9" t="e">
            <v>#N/A</v>
          </cell>
          <cell r="KZ9" t="e">
            <v>#N/A</v>
          </cell>
          <cell r="LC9" t="e">
            <v>#N/A</v>
          </cell>
          <cell r="LD9" t="e">
            <v>#N/A</v>
          </cell>
          <cell r="LG9">
            <v>6</v>
          </cell>
          <cell r="LH9">
            <v>1976</v>
          </cell>
          <cell r="LK9">
            <v>6</v>
          </cell>
          <cell r="LL9" t="str">
            <v>NATIONAL ENTERPRISES</v>
          </cell>
          <cell r="LO9">
            <v>6</v>
          </cell>
          <cell r="LP9" t="str">
            <v>Scrap of 132 KV CT</v>
          </cell>
          <cell r="LS9">
            <v>4</v>
          </cell>
          <cell r="LT9" t="str">
            <v/>
          </cell>
          <cell r="LW9">
            <v>6</v>
          </cell>
          <cell r="LX9">
            <v>8.1999999999999993</v>
          </cell>
          <cell r="MA9">
            <v>3</v>
          </cell>
          <cell r="MB9" t="str">
            <v/>
          </cell>
          <cell r="ME9">
            <v>6</v>
          </cell>
          <cell r="MF9">
            <v>531</v>
          </cell>
          <cell r="MI9">
            <v>6</v>
          </cell>
          <cell r="MJ9">
            <v>29502</v>
          </cell>
          <cell r="MM9">
            <v>6</v>
          </cell>
          <cell r="MN9">
            <v>5310</v>
          </cell>
          <cell r="MQ9">
            <v>6</v>
          </cell>
          <cell r="MR9">
            <v>34812</v>
          </cell>
          <cell r="MU9">
            <v>6</v>
          </cell>
          <cell r="MV9">
            <v>696</v>
          </cell>
          <cell r="MY9">
            <v>6</v>
          </cell>
          <cell r="MZ9">
            <v>29.501999999999999</v>
          </cell>
          <cell r="NC9">
            <v>6</v>
          </cell>
          <cell r="ND9">
            <v>783.27809999999988</v>
          </cell>
          <cell r="NG9">
            <v>6</v>
          </cell>
          <cell r="NH9">
            <v>13.2759</v>
          </cell>
          <cell r="NK9">
            <v>6</v>
          </cell>
          <cell r="NL9">
            <v>770.0021999999999</v>
          </cell>
          <cell r="NO9">
            <v>6</v>
          </cell>
          <cell r="NP9">
            <v>800</v>
          </cell>
          <cell r="NS9">
            <v>2</v>
          </cell>
          <cell r="NT9" t="str">
            <v/>
          </cell>
          <cell r="NW9">
            <v>5</v>
          </cell>
          <cell r="NX9" t="str">
            <v/>
          </cell>
          <cell r="OA9">
            <v>6</v>
          </cell>
          <cell r="OB9">
            <v>34709</v>
          </cell>
          <cell r="OE9">
            <v>6</v>
          </cell>
          <cell r="OF9">
            <v>7376</v>
          </cell>
          <cell r="OI9">
            <v>6</v>
          </cell>
          <cell r="OJ9">
            <v>7376</v>
          </cell>
          <cell r="OM9">
            <v>6</v>
          </cell>
          <cell r="ON9" t="str">
            <v>24.08.2026</v>
          </cell>
          <cell r="OQ9">
            <v>6</v>
          </cell>
          <cell r="OR9">
            <v>27334</v>
          </cell>
          <cell r="OU9" t="e">
            <v>#N/A</v>
          </cell>
          <cell r="OV9" t="e">
            <v>#N/A</v>
          </cell>
          <cell r="OY9" t="e">
            <v>#N/A</v>
          </cell>
          <cell r="OZ9" t="e">
            <v>#N/A</v>
          </cell>
          <cell r="PC9">
            <v>6</v>
          </cell>
          <cell r="PD9">
            <v>991.27079999999989</v>
          </cell>
          <cell r="PG9" t="e">
            <v>#N/A</v>
          </cell>
          <cell r="PH9" t="e">
            <v>#N/A</v>
          </cell>
          <cell r="PK9" t="e">
            <v>#N/A</v>
          </cell>
          <cell r="PL9" t="e">
            <v>#N/A</v>
          </cell>
          <cell r="PO9">
            <v>6</v>
          </cell>
          <cell r="PP9">
            <v>32944</v>
          </cell>
          <cell r="PS9">
            <v>6</v>
          </cell>
          <cell r="PT9">
            <v>-0.90570838935673237</v>
          </cell>
          <cell r="PW9">
            <v>1</v>
          </cell>
          <cell r="PX9" t="str">
            <v/>
          </cell>
          <cell r="QA9" t="e">
            <v>#N/A</v>
          </cell>
          <cell r="QB9" t="e">
            <v>#N/A</v>
          </cell>
          <cell r="QE9" t="e">
            <v>#N/A</v>
          </cell>
          <cell r="QF9" t="e">
            <v>#N/A</v>
          </cell>
          <cell r="QI9" t="e">
            <v>#N/A</v>
          </cell>
          <cell r="QJ9" t="e">
            <v>#N/A</v>
          </cell>
          <cell r="QR9">
            <v>6</v>
          </cell>
          <cell r="QS9">
            <v>8.1999999999999993</v>
          </cell>
          <cell r="QV9">
            <v>6</v>
          </cell>
          <cell r="QW9" t="str">
            <v>Scrap of 132 KV CT</v>
          </cell>
          <cell r="QZ9">
            <v>6</v>
          </cell>
          <cell r="RA9">
            <v>531</v>
          </cell>
          <cell r="RD9">
            <v>4</v>
          </cell>
          <cell r="RE9" t="str">
            <v/>
          </cell>
          <cell r="RH9">
            <v>3</v>
          </cell>
          <cell r="RI9" t="str">
            <v/>
          </cell>
          <cell r="RL9">
            <v>6</v>
          </cell>
          <cell r="RM9">
            <v>1976</v>
          </cell>
          <cell r="RP9">
            <v>6</v>
          </cell>
          <cell r="RQ9" t="str">
            <v>NATIONAL ENTERPRISES</v>
          </cell>
          <cell r="RT9">
            <v>6</v>
          </cell>
          <cell r="RU9">
            <v>29502</v>
          </cell>
          <cell r="RX9">
            <v>6</v>
          </cell>
          <cell r="RY9">
            <v>5310</v>
          </cell>
          <cell r="SB9">
            <v>6</v>
          </cell>
          <cell r="SC9">
            <v>34812</v>
          </cell>
          <cell r="SF9">
            <v>6</v>
          </cell>
          <cell r="SG9">
            <v>696</v>
          </cell>
          <cell r="SJ9">
            <v>6</v>
          </cell>
          <cell r="SK9">
            <v>29.501999999999999</v>
          </cell>
          <cell r="SN9">
            <v>6</v>
          </cell>
          <cell r="SO9">
            <v>783.27809999999988</v>
          </cell>
          <cell r="SR9">
            <v>6</v>
          </cell>
          <cell r="SS9">
            <v>13.2759</v>
          </cell>
          <cell r="SV9">
            <v>6</v>
          </cell>
          <cell r="SW9">
            <v>770.0021999999999</v>
          </cell>
          <cell r="SZ9">
            <v>6</v>
          </cell>
          <cell r="TA9">
            <v>800</v>
          </cell>
          <cell r="TD9">
            <v>2</v>
          </cell>
          <cell r="TE9" t="str">
            <v/>
          </cell>
          <cell r="TH9">
            <v>5</v>
          </cell>
          <cell r="TI9" t="str">
            <v/>
          </cell>
          <cell r="TL9">
            <v>6</v>
          </cell>
          <cell r="TM9">
            <v>34709</v>
          </cell>
          <cell r="TP9">
            <v>6</v>
          </cell>
          <cell r="TQ9">
            <v>7376</v>
          </cell>
          <cell r="TT9">
            <v>6</v>
          </cell>
          <cell r="TU9">
            <v>7376</v>
          </cell>
          <cell r="TX9">
            <v>6</v>
          </cell>
          <cell r="TY9" t="str">
            <v>24.08.2026</v>
          </cell>
          <cell r="UB9">
            <v>6</v>
          </cell>
          <cell r="UC9">
            <v>27334</v>
          </cell>
          <cell r="UF9" t="e">
            <v>#N/A</v>
          </cell>
          <cell r="UG9" t="e">
            <v>#N/A</v>
          </cell>
          <cell r="UJ9" t="e">
            <v>#N/A</v>
          </cell>
          <cell r="UK9" t="e">
            <v>#N/A</v>
          </cell>
          <cell r="UN9">
            <v>6</v>
          </cell>
          <cell r="UO9">
            <v>991.27079999999989</v>
          </cell>
          <cell r="UR9" t="e">
            <v>#N/A</v>
          </cell>
          <cell r="US9" t="e">
            <v>#N/A</v>
          </cell>
          <cell r="UV9" t="e">
            <v>#N/A</v>
          </cell>
          <cell r="UW9" t="e">
            <v>#N/A</v>
          </cell>
          <cell r="UZ9">
            <v>6</v>
          </cell>
          <cell r="VA9">
            <v>32944</v>
          </cell>
          <cell r="VD9">
            <v>6</v>
          </cell>
          <cell r="VE9">
            <v>-0.90570838935673237</v>
          </cell>
          <cell r="VH9" t="e">
            <v>#N/A</v>
          </cell>
          <cell r="VI9" t="e">
            <v>#N/A</v>
          </cell>
          <cell r="VL9" t="e">
            <v>#N/A</v>
          </cell>
          <cell r="VM9" t="e">
            <v>#N/A</v>
          </cell>
          <cell r="VP9" t="e">
            <v>#N/A</v>
          </cell>
          <cell r="VQ9" t="e">
            <v>#N/A</v>
          </cell>
          <cell r="VT9" t="e">
            <v>#N/A</v>
          </cell>
          <cell r="VU9" t="e">
            <v>#N/A</v>
          </cell>
        </row>
        <row r="10">
          <cell r="A10" t="str">
            <v>+ 2002</v>
          </cell>
          <cell r="I10">
            <v>7</v>
          </cell>
          <cell r="J10" t="str">
            <v>+ 7</v>
          </cell>
          <cell r="GA10">
            <v>0</v>
          </cell>
          <cell r="GB10" t="str">
            <v/>
          </cell>
          <cell r="GE10">
            <v>0</v>
          </cell>
          <cell r="GF10" t="str">
            <v/>
          </cell>
          <cell r="GI10">
            <v>7</v>
          </cell>
          <cell r="GJ10" t="str">
            <v>+ NATIONAL SCRAP AND BUILDING MATERIAL SUPPLIER</v>
          </cell>
          <cell r="GM10">
            <v>0</v>
          </cell>
          <cell r="GN10" t="str">
            <v/>
          </cell>
          <cell r="GQ10">
            <v>0</v>
          </cell>
          <cell r="GR10" t="str">
            <v/>
          </cell>
          <cell r="GU10">
            <v>0</v>
          </cell>
          <cell r="GV10" t="str">
            <v/>
          </cell>
          <cell r="GY10">
            <v>0</v>
          </cell>
          <cell r="GZ10" t="str">
            <v/>
          </cell>
          <cell r="HC10">
            <v>0</v>
          </cell>
          <cell r="HD10" t="str">
            <v/>
          </cell>
          <cell r="HG10">
            <v>0</v>
          </cell>
          <cell r="HH10" t="str">
            <v/>
          </cell>
          <cell r="HK10">
            <v>0</v>
          </cell>
          <cell r="HL10" t="str">
            <v/>
          </cell>
          <cell r="HO10">
            <v>0</v>
          </cell>
          <cell r="HP10" t="str">
            <v/>
          </cell>
          <cell r="HS10">
            <v>0</v>
          </cell>
          <cell r="HT10" t="str">
            <v/>
          </cell>
          <cell r="HW10">
            <v>0</v>
          </cell>
          <cell r="HX10" t="str">
            <v/>
          </cell>
          <cell r="IA10">
            <v>0</v>
          </cell>
          <cell r="IB10" t="str">
            <v/>
          </cell>
          <cell r="IE10">
            <v>0</v>
          </cell>
          <cell r="IF10" t="str">
            <v/>
          </cell>
          <cell r="II10">
            <v>0</v>
          </cell>
          <cell r="IJ10" t="str">
            <v/>
          </cell>
          <cell r="IM10">
            <v>0</v>
          </cell>
          <cell r="IN10" t="str">
            <v/>
          </cell>
          <cell r="IQ10">
            <v>0</v>
          </cell>
          <cell r="IR10" t="str">
            <v/>
          </cell>
          <cell r="IU10">
            <v>0</v>
          </cell>
          <cell r="IV10" t="str">
            <v/>
          </cell>
          <cell r="IY10">
            <v>0</v>
          </cell>
          <cell r="IZ10" t="str">
            <v/>
          </cell>
          <cell r="JC10">
            <v>0</v>
          </cell>
          <cell r="JD10" t="str">
            <v/>
          </cell>
          <cell r="JG10">
            <v>0</v>
          </cell>
          <cell r="JH10" t="str">
            <v/>
          </cell>
          <cell r="JK10">
            <v>0</v>
          </cell>
          <cell r="JL10" t="str">
            <v/>
          </cell>
          <cell r="JO10" t="e">
            <v>#N/A</v>
          </cell>
          <cell r="JP10" t="e">
            <v>#N/A</v>
          </cell>
          <cell r="JS10" t="e">
            <v>#N/A</v>
          </cell>
          <cell r="JT10" t="e">
            <v>#N/A</v>
          </cell>
          <cell r="JW10">
            <v>0</v>
          </cell>
          <cell r="JX10" t="str">
            <v/>
          </cell>
          <cell r="KA10" t="e">
            <v>#N/A</v>
          </cell>
          <cell r="KB10" t="e">
            <v>#N/A</v>
          </cell>
          <cell r="KE10" t="e">
            <v>#N/A</v>
          </cell>
          <cell r="KF10" t="e">
            <v>#N/A</v>
          </cell>
          <cell r="KI10">
            <v>0</v>
          </cell>
          <cell r="KJ10" t="str">
            <v/>
          </cell>
          <cell r="KM10">
            <v>0</v>
          </cell>
          <cell r="KN10" t="str">
            <v/>
          </cell>
          <cell r="KQ10">
            <v>0</v>
          </cell>
          <cell r="KR10" t="str">
            <v/>
          </cell>
          <cell r="KU10" t="e">
            <v>#N/A</v>
          </cell>
          <cell r="KV10" t="e">
            <v>#N/A</v>
          </cell>
          <cell r="KY10" t="e">
            <v>#N/A</v>
          </cell>
          <cell r="KZ10" t="e">
            <v>#N/A</v>
          </cell>
          <cell r="LC10" t="e">
            <v>#N/A</v>
          </cell>
          <cell r="LD10" t="e">
            <v>#N/A</v>
          </cell>
          <cell r="LG10">
            <v>7</v>
          </cell>
          <cell r="LH10">
            <v>2002</v>
          </cell>
          <cell r="LK10">
            <v>7</v>
          </cell>
          <cell r="LL10" t="str">
            <v>NATIONAL SCRAP AND BUILDING MATERIAL SUPPLIER</v>
          </cell>
          <cell r="LO10">
            <v>7</v>
          </cell>
          <cell r="LP10" t="str">
            <v>Scrap of 132 KV Wave Trap</v>
          </cell>
          <cell r="LS10">
            <v>4</v>
          </cell>
          <cell r="LT10" t="str">
            <v/>
          </cell>
          <cell r="LW10">
            <v>7</v>
          </cell>
          <cell r="LX10">
            <v>22</v>
          </cell>
          <cell r="MA10">
            <v>3</v>
          </cell>
          <cell r="MB10" t="str">
            <v/>
          </cell>
          <cell r="ME10">
            <v>7</v>
          </cell>
          <cell r="MF10">
            <v>543</v>
          </cell>
          <cell r="MI10">
            <v>7</v>
          </cell>
          <cell r="MJ10">
            <v>30012</v>
          </cell>
          <cell r="MM10">
            <v>7</v>
          </cell>
          <cell r="MN10">
            <v>5402</v>
          </cell>
          <cell r="MQ10">
            <v>7</v>
          </cell>
          <cell r="MR10">
            <v>35414</v>
          </cell>
          <cell r="MU10">
            <v>7</v>
          </cell>
          <cell r="MV10">
            <v>708</v>
          </cell>
          <cell r="MY10">
            <v>7</v>
          </cell>
          <cell r="MZ10">
            <v>30.012</v>
          </cell>
          <cell r="NC10">
            <v>7</v>
          </cell>
          <cell r="ND10">
            <v>796.81859999999995</v>
          </cell>
          <cell r="NG10">
            <v>7</v>
          </cell>
          <cell r="NH10">
            <v>13.5054</v>
          </cell>
          <cell r="NK10">
            <v>7</v>
          </cell>
          <cell r="NL10">
            <v>783.31319999999994</v>
          </cell>
          <cell r="NO10">
            <v>7</v>
          </cell>
          <cell r="NP10">
            <v>813</v>
          </cell>
          <cell r="NS10">
            <v>2</v>
          </cell>
          <cell r="NT10" t="str">
            <v/>
          </cell>
          <cell r="NW10">
            <v>5</v>
          </cell>
          <cell r="NX10" t="str">
            <v/>
          </cell>
          <cell r="OA10">
            <v>7</v>
          </cell>
          <cell r="OB10">
            <v>35309</v>
          </cell>
          <cell r="OE10">
            <v>7</v>
          </cell>
          <cell r="OF10">
            <v>7503</v>
          </cell>
          <cell r="OI10">
            <v>7</v>
          </cell>
          <cell r="OJ10">
            <v>7503</v>
          </cell>
          <cell r="OM10">
            <v>6</v>
          </cell>
          <cell r="ON10" t="str">
            <v/>
          </cell>
          <cell r="OQ10">
            <v>7</v>
          </cell>
          <cell r="OR10">
            <v>27806</v>
          </cell>
          <cell r="OU10" t="e">
            <v>#N/A</v>
          </cell>
          <cell r="OV10" t="e">
            <v>#N/A</v>
          </cell>
          <cell r="OY10" t="e">
            <v>#N/A</v>
          </cell>
          <cell r="OZ10" t="e">
            <v>#N/A</v>
          </cell>
          <cell r="PC10">
            <v>7</v>
          </cell>
          <cell r="PD10">
            <v>1044.3708000000001</v>
          </cell>
          <cell r="PG10" t="e">
            <v>#N/A</v>
          </cell>
          <cell r="PH10" t="e">
            <v>#N/A</v>
          </cell>
          <cell r="PK10" t="e">
            <v>#N/A</v>
          </cell>
          <cell r="PL10" t="e">
            <v>#N/A</v>
          </cell>
          <cell r="PO10">
            <v>7</v>
          </cell>
          <cell r="PP10">
            <v>34708</v>
          </cell>
          <cell r="PS10">
            <v>7</v>
          </cell>
          <cell r="PT10">
            <v>0</v>
          </cell>
          <cell r="PW10">
            <v>1</v>
          </cell>
          <cell r="PX10" t="str">
            <v/>
          </cell>
          <cell r="QA10" t="e">
            <v>#N/A</v>
          </cell>
          <cell r="QB10" t="e">
            <v>#N/A</v>
          </cell>
          <cell r="QE10" t="e">
            <v>#N/A</v>
          </cell>
          <cell r="QF10" t="e">
            <v>#N/A</v>
          </cell>
          <cell r="QI10" t="e">
            <v>#N/A</v>
          </cell>
          <cell r="QJ10" t="e">
            <v>#N/A</v>
          </cell>
          <cell r="QR10">
            <v>7</v>
          </cell>
          <cell r="QS10">
            <v>22</v>
          </cell>
          <cell r="QV10">
            <v>7</v>
          </cell>
          <cell r="QW10" t="str">
            <v>Scrap of 132 KV Wave Trap</v>
          </cell>
          <cell r="QZ10">
            <v>7</v>
          </cell>
          <cell r="RA10">
            <v>543</v>
          </cell>
          <cell r="RD10">
            <v>4</v>
          </cell>
          <cell r="RE10" t="str">
            <v/>
          </cell>
          <cell r="RH10">
            <v>3</v>
          </cell>
          <cell r="RI10" t="str">
            <v/>
          </cell>
          <cell r="RL10">
            <v>7</v>
          </cell>
          <cell r="RM10">
            <v>2002</v>
          </cell>
          <cell r="RP10">
            <v>7</v>
          </cell>
          <cell r="RQ10" t="str">
            <v>NATIONAL SCRAP AND BUILDING MATERIAL SUPPLIER</v>
          </cell>
          <cell r="RT10">
            <v>7</v>
          </cell>
          <cell r="RU10">
            <v>30012</v>
          </cell>
          <cell r="RX10">
            <v>7</v>
          </cell>
          <cell r="RY10">
            <v>5402</v>
          </cell>
          <cell r="SB10">
            <v>7</v>
          </cell>
          <cell r="SC10">
            <v>35414</v>
          </cell>
          <cell r="SF10">
            <v>7</v>
          </cell>
          <cell r="SG10">
            <v>708</v>
          </cell>
          <cell r="SJ10">
            <v>7</v>
          </cell>
          <cell r="SK10">
            <v>30.012</v>
          </cell>
          <cell r="SN10">
            <v>7</v>
          </cell>
          <cell r="SO10">
            <v>796.81859999999995</v>
          </cell>
          <cell r="SR10">
            <v>7</v>
          </cell>
          <cell r="SS10">
            <v>13.5054</v>
          </cell>
          <cell r="SV10">
            <v>7</v>
          </cell>
          <cell r="SW10">
            <v>783.31319999999994</v>
          </cell>
          <cell r="SZ10">
            <v>7</v>
          </cell>
          <cell r="TA10">
            <v>813</v>
          </cell>
          <cell r="TD10">
            <v>2</v>
          </cell>
          <cell r="TE10" t="str">
            <v/>
          </cell>
          <cell r="TH10">
            <v>5</v>
          </cell>
          <cell r="TI10" t="str">
            <v/>
          </cell>
          <cell r="TL10">
            <v>7</v>
          </cell>
          <cell r="TM10">
            <v>35309</v>
          </cell>
          <cell r="TP10">
            <v>7</v>
          </cell>
          <cell r="TQ10">
            <v>7503</v>
          </cell>
          <cell r="TT10">
            <v>7</v>
          </cell>
          <cell r="TU10">
            <v>7503</v>
          </cell>
          <cell r="TX10">
            <v>6</v>
          </cell>
          <cell r="TY10" t="str">
            <v/>
          </cell>
          <cell r="UB10">
            <v>7</v>
          </cell>
          <cell r="UC10">
            <v>27806</v>
          </cell>
          <cell r="UF10" t="e">
            <v>#N/A</v>
          </cell>
          <cell r="UG10" t="e">
            <v>#N/A</v>
          </cell>
          <cell r="UJ10" t="e">
            <v>#N/A</v>
          </cell>
          <cell r="UK10" t="e">
            <v>#N/A</v>
          </cell>
          <cell r="UN10">
            <v>7</v>
          </cell>
          <cell r="UO10">
            <v>1044.3708000000001</v>
          </cell>
          <cell r="UR10" t="e">
            <v>#N/A</v>
          </cell>
          <cell r="US10" t="e">
            <v>#N/A</v>
          </cell>
          <cell r="UV10" t="e">
            <v>#N/A</v>
          </cell>
          <cell r="UW10" t="e">
            <v>#N/A</v>
          </cell>
          <cell r="UZ10">
            <v>7</v>
          </cell>
          <cell r="VA10">
            <v>34708</v>
          </cell>
          <cell r="VD10">
            <v>7</v>
          </cell>
          <cell r="VE10">
            <v>0</v>
          </cell>
          <cell r="VH10" t="e">
            <v>#N/A</v>
          </cell>
          <cell r="VI10" t="e">
            <v>#N/A</v>
          </cell>
          <cell r="VL10" t="e">
            <v>#N/A</v>
          </cell>
          <cell r="VM10" t="e">
            <v>#N/A</v>
          </cell>
          <cell r="VP10" t="e">
            <v>#N/A</v>
          </cell>
          <cell r="VQ10" t="e">
            <v>#N/A</v>
          </cell>
          <cell r="VT10" t="e">
            <v>#N/A</v>
          </cell>
          <cell r="VU10" t="e">
            <v>#N/A</v>
          </cell>
        </row>
        <row r="11">
          <cell r="A11" t="str">
            <v>+ 2003</v>
          </cell>
          <cell r="I11">
            <v>8</v>
          </cell>
          <cell r="J11" t="str">
            <v>+ 8</v>
          </cell>
          <cell r="GA11">
            <v>0</v>
          </cell>
          <cell r="GB11" t="str">
            <v/>
          </cell>
          <cell r="GE11">
            <v>0</v>
          </cell>
          <cell r="GF11" t="str">
            <v/>
          </cell>
          <cell r="GI11">
            <v>8</v>
          </cell>
          <cell r="GJ11" t="str">
            <v>+ OMKAR STEELS</v>
          </cell>
          <cell r="GM11">
            <v>0</v>
          </cell>
          <cell r="GN11" t="str">
            <v/>
          </cell>
          <cell r="GQ11">
            <v>0</v>
          </cell>
          <cell r="GR11" t="str">
            <v/>
          </cell>
          <cell r="GU11">
            <v>0</v>
          </cell>
          <cell r="GV11" t="str">
            <v/>
          </cell>
          <cell r="GY11">
            <v>0</v>
          </cell>
          <cell r="GZ11" t="str">
            <v/>
          </cell>
          <cell r="HC11">
            <v>0</v>
          </cell>
          <cell r="HD11" t="str">
            <v/>
          </cell>
          <cell r="HG11">
            <v>0</v>
          </cell>
          <cell r="HH11" t="str">
            <v/>
          </cell>
          <cell r="HK11">
            <v>0</v>
          </cell>
          <cell r="HL11" t="str">
            <v/>
          </cell>
          <cell r="HO11">
            <v>0</v>
          </cell>
          <cell r="HP11" t="str">
            <v/>
          </cell>
          <cell r="HS11">
            <v>0</v>
          </cell>
          <cell r="HT11" t="str">
            <v/>
          </cell>
          <cell r="HW11">
            <v>0</v>
          </cell>
          <cell r="HX11" t="str">
            <v/>
          </cell>
          <cell r="IA11">
            <v>0</v>
          </cell>
          <cell r="IB11" t="str">
            <v/>
          </cell>
          <cell r="IE11">
            <v>0</v>
          </cell>
          <cell r="IF11" t="str">
            <v/>
          </cell>
          <cell r="II11">
            <v>0</v>
          </cell>
          <cell r="IJ11" t="str">
            <v/>
          </cell>
          <cell r="IM11">
            <v>0</v>
          </cell>
          <cell r="IN11" t="str">
            <v/>
          </cell>
          <cell r="IQ11">
            <v>0</v>
          </cell>
          <cell r="IR11" t="str">
            <v/>
          </cell>
          <cell r="IU11">
            <v>0</v>
          </cell>
          <cell r="IV11" t="str">
            <v/>
          </cell>
          <cell r="IY11">
            <v>0</v>
          </cell>
          <cell r="IZ11" t="str">
            <v/>
          </cell>
          <cell r="JC11">
            <v>0</v>
          </cell>
          <cell r="JD11" t="str">
            <v/>
          </cell>
          <cell r="JG11">
            <v>0</v>
          </cell>
          <cell r="JH11" t="str">
            <v/>
          </cell>
          <cell r="JK11">
            <v>0</v>
          </cell>
          <cell r="JL11" t="str">
            <v/>
          </cell>
          <cell r="JO11" t="e">
            <v>#N/A</v>
          </cell>
          <cell r="JP11" t="e">
            <v>#N/A</v>
          </cell>
          <cell r="JS11" t="e">
            <v>#N/A</v>
          </cell>
          <cell r="JT11" t="e">
            <v>#N/A</v>
          </cell>
          <cell r="JW11">
            <v>0</v>
          </cell>
          <cell r="JX11" t="str">
            <v/>
          </cell>
          <cell r="KA11" t="e">
            <v>#N/A</v>
          </cell>
          <cell r="KB11" t="e">
            <v>#N/A</v>
          </cell>
          <cell r="KE11" t="e">
            <v>#N/A</v>
          </cell>
          <cell r="KF11" t="e">
            <v>#N/A</v>
          </cell>
          <cell r="KI11">
            <v>0</v>
          </cell>
          <cell r="KJ11" t="str">
            <v/>
          </cell>
          <cell r="KM11">
            <v>0</v>
          </cell>
          <cell r="KN11" t="str">
            <v/>
          </cell>
          <cell r="KQ11">
            <v>0</v>
          </cell>
          <cell r="KR11" t="str">
            <v/>
          </cell>
          <cell r="KU11" t="e">
            <v>#N/A</v>
          </cell>
          <cell r="KV11" t="e">
            <v>#N/A</v>
          </cell>
          <cell r="KY11" t="e">
            <v>#N/A</v>
          </cell>
          <cell r="KZ11" t="e">
            <v>#N/A</v>
          </cell>
          <cell r="LC11" t="e">
            <v>#N/A</v>
          </cell>
          <cell r="LD11" t="e">
            <v>#N/A</v>
          </cell>
          <cell r="LG11">
            <v>8</v>
          </cell>
          <cell r="LH11">
            <v>2003</v>
          </cell>
          <cell r="LK11">
            <v>8</v>
          </cell>
          <cell r="LL11" t="str">
            <v>OMKAR STEELS</v>
          </cell>
          <cell r="LO11">
            <v>8</v>
          </cell>
          <cell r="LP11" t="str">
            <v>Scrap of 145 KV CB</v>
          </cell>
          <cell r="LS11">
            <v>4</v>
          </cell>
          <cell r="LT11" t="str">
            <v/>
          </cell>
          <cell r="LW11">
            <v>8</v>
          </cell>
          <cell r="LX11">
            <v>25</v>
          </cell>
          <cell r="MA11">
            <v>3</v>
          </cell>
          <cell r="MB11" t="str">
            <v/>
          </cell>
          <cell r="ME11">
            <v>8</v>
          </cell>
          <cell r="MF11">
            <v>571</v>
          </cell>
          <cell r="MI11">
            <v>8</v>
          </cell>
          <cell r="MJ11">
            <v>40768</v>
          </cell>
          <cell r="MM11">
            <v>8</v>
          </cell>
          <cell r="MN11">
            <v>7338</v>
          </cell>
          <cell r="MQ11">
            <v>8</v>
          </cell>
          <cell r="MR11">
            <v>48106</v>
          </cell>
          <cell r="MU11">
            <v>8</v>
          </cell>
          <cell r="MV11">
            <v>962</v>
          </cell>
          <cell r="MY11">
            <v>8</v>
          </cell>
          <cell r="MZ11">
            <v>40.768000000000001</v>
          </cell>
          <cell r="NC11">
            <v>8</v>
          </cell>
          <cell r="ND11">
            <v>1082.3904</v>
          </cell>
          <cell r="NG11">
            <v>8</v>
          </cell>
          <cell r="NH11">
            <v>18.345600000000001</v>
          </cell>
          <cell r="NK11">
            <v>8</v>
          </cell>
          <cell r="NL11">
            <v>1064.0447999999999</v>
          </cell>
          <cell r="NO11">
            <v>8</v>
          </cell>
          <cell r="NP11">
            <v>1105</v>
          </cell>
          <cell r="NS11">
            <v>2</v>
          </cell>
          <cell r="NT11" t="str">
            <v/>
          </cell>
          <cell r="NW11">
            <v>5</v>
          </cell>
          <cell r="NX11" t="str">
            <v/>
          </cell>
          <cell r="OA11">
            <v>8</v>
          </cell>
          <cell r="OB11">
            <v>47964</v>
          </cell>
          <cell r="OE11">
            <v>8</v>
          </cell>
          <cell r="OF11">
            <v>10192</v>
          </cell>
          <cell r="OI11">
            <v>8</v>
          </cell>
          <cell r="OJ11">
            <v>10192</v>
          </cell>
          <cell r="OM11">
            <v>6</v>
          </cell>
          <cell r="ON11" t="str">
            <v/>
          </cell>
          <cell r="OQ11">
            <v>8</v>
          </cell>
          <cell r="OR11">
            <v>37772</v>
          </cell>
          <cell r="OU11" t="e">
            <v>#N/A</v>
          </cell>
          <cell r="OV11" t="e">
            <v>#N/A</v>
          </cell>
          <cell r="OY11" t="e">
            <v>#N/A</v>
          </cell>
          <cell r="OZ11" t="e">
            <v>#N/A</v>
          </cell>
          <cell r="PC11">
            <v>8</v>
          </cell>
          <cell r="PD11">
            <v>1443.1871999999998</v>
          </cell>
          <cell r="PG11" t="e">
            <v>#N/A</v>
          </cell>
          <cell r="PH11" t="e">
            <v>#N/A</v>
          </cell>
          <cell r="PK11" t="e">
            <v>#N/A</v>
          </cell>
          <cell r="PL11" t="e">
            <v>#N/A</v>
          </cell>
          <cell r="PO11">
            <v>8</v>
          </cell>
          <cell r="PP11">
            <v>36017</v>
          </cell>
          <cell r="PS11">
            <v>8</v>
          </cell>
          <cell r="PT11">
            <v>1</v>
          </cell>
          <cell r="PW11">
            <v>1</v>
          </cell>
          <cell r="PX11" t="str">
            <v/>
          </cell>
          <cell r="QA11" t="e">
            <v>#N/A</v>
          </cell>
          <cell r="QB11" t="e">
            <v>#N/A</v>
          </cell>
          <cell r="QE11" t="e">
            <v>#N/A</v>
          </cell>
          <cell r="QF11" t="e">
            <v>#N/A</v>
          </cell>
          <cell r="QI11" t="e">
            <v>#N/A</v>
          </cell>
          <cell r="QJ11" t="e">
            <v>#N/A</v>
          </cell>
          <cell r="QR11">
            <v>8</v>
          </cell>
          <cell r="QS11">
            <v>25</v>
          </cell>
          <cell r="QV11">
            <v>8</v>
          </cell>
          <cell r="QW11" t="str">
            <v>Scrap of 145 KV CB</v>
          </cell>
          <cell r="QZ11">
            <v>8</v>
          </cell>
          <cell r="RA11">
            <v>571</v>
          </cell>
          <cell r="RD11">
            <v>4</v>
          </cell>
          <cell r="RE11" t="str">
            <v/>
          </cell>
          <cell r="RH11">
            <v>3</v>
          </cell>
          <cell r="RI11" t="str">
            <v/>
          </cell>
          <cell r="RL11">
            <v>8</v>
          </cell>
          <cell r="RM11">
            <v>2003</v>
          </cell>
          <cell r="RP11">
            <v>8</v>
          </cell>
          <cell r="RQ11" t="str">
            <v>OMKAR STEELS</v>
          </cell>
          <cell r="RT11">
            <v>8</v>
          </cell>
          <cell r="RU11">
            <v>40768</v>
          </cell>
          <cell r="RX11">
            <v>8</v>
          </cell>
          <cell r="RY11">
            <v>7338</v>
          </cell>
          <cell r="SB11">
            <v>8</v>
          </cell>
          <cell r="SC11">
            <v>48106</v>
          </cell>
          <cell r="SF11">
            <v>8</v>
          </cell>
          <cell r="SG11">
            <v>962</v>
          </cell>
          <cell r="SJ11">
            <v>8</v>
          </cell>
          <cell r="SK11">
            <v>40.768000000000001</v>
          </cell>
          <cell r="SN11">
            <v>8</v>
          </cell>
          <cell r="SO11">
            <v>1082.3904</v>
          </cell>
          <cell r="SR11">
            <v>8</v>
          </cell>
          <cell r="SS11">
            <v>18.345600000000001</v>
          </cell>
          <cell r="SV11">
            <v>8</v>
          </cell>
          <cell r="SW11">
            <v>1064.0447999999999</v>
          </cell>
          <cell r="SZ11">
            <v>8</v>
          </cell>
          <cell r="TA11">
            <v>1105</v>
          </cell>
          <cell r="TD11">
            <v>2</v>
          </cell>
          <cell r="TE11" t="str">
            <v/>
          </cell>
          <cell r="TH11">
            <v>5</v>
          </cell>
          <cell r="TI11" t="str">
            <v/>
          </cell>
          <cell r="TL11">
            <v>8</v>
          </cell>
          <cell r="TM11">
            <v>47964</v>
          </cell>
          <cell r="TP11">
            <v>8</v>
          </cell>
          <cell r="TQ11">
            <v>10192</v>
          </cell>
          <cell r="TT11">
            <v>8</v>
          </cell>
          <cell r="TU11">
            <v>10192</v>
          </cell>
          <cell r="TX11">
            <v>6</v>
          </cell>
          <cell r="TY11" t="str">
            <v/>
          </cell>
          <cell r="UB11">
            <v>8</v>
          </cell>
          <cell r="UC11">
            <v>37772</v>
          </cell>
          <cell r="UF11" t="e">
            <v>#N/A</v>
          </cell>
          <cell r="UG11" t="e">
            <v>#N/A</v>
          </cell>
          <cell r="UJ11" t="e">
            <v>#N/A</v>
          </cell>
          <cell r="UK11" t="e">
            <v>#N/A</v>
          </cell>
          <cell r="UN11">
            <v>8</v>
          </cell>
          <cell r="UO11">
            <v>1443.1871999999998</v>
          </cell>
          <cell r="UR11" t="e">
            <v>#N/A</v>
          </cell>
          <cell r="US11" t="e">
            <v>#N/A</v>
          </cell>
          <cell r="UV11" t="e">
            <v>#N/A</v>
          </cell>
          <cell r="UW11" t="e">
            <v>#N/A</v>
          </cell>
          <cell r="UZ11">
            <v>8</v>
          </cell>
          <cell r="VA11">
            <v>36017</v>
          </cell>
          <cell r="VD11">
            <v>8</v>
          </cell>
          <cell r="VE11">
            <v>1</v>
          </cell>
          <cell r="VH11" t="e">
            <v>#N/A</v>
          </cell>
          <cell r="VI11" t="e">
            <v>#N/A</v>
          </cell>
          <cell r="VL11" t="e">
            <v>#N/A</v>
          </cell>
          <cell r="VM11" t="e">
            <v>#N/A</v>
          </cell>
          <cell r="VP11" t="e">
            <v>#N/A</v>
          </cell>
          <cell r="VQ11" t="e">
            <v>#N/A</v>
          </cell>
          <cell r="VT11" t="e">
            <v>#N/A</v>
          </cell>
          <cell r="VU11" t="e">
            <v>#N/A</v>
          </cell>
        </row>
        <row r="12">
          <cell r="A12" t="str">
            <v>+ 2005</v>
          </cell>
          <cell r="I12">
            <v>9</v>
          </cell>
          <cell r="J12" t="str">
            <v>+ 9</v>
          </cell>
          <cell r="GA12">
            <v>0</v>
          </cell>
          <cell r="GB12" t="str">
            <v/>
          </cell>
          <cell r="GE12">
            <v>0</v>
          </cell>
          <cell r="GF12" t="str">
            <v/>
          </cell>
          <cell r="GI12">
            <v>9</v>
          </cell>
          <cell r="GJ12" t="str">
            <v>+ S M ENTERPRISES</v>
          </cell>
          <cell r="GM12">
            <v>0</v>
          </cell>
          <cell r="GN12" t="str">
            <v/>
          </cell>
          <cell r="GQ12">
            <v>0</v>
          </cell>
          <cell r="GR12" t="str">
            <v/>
          </cell>
          <cell r="GU12">
            <v>0</v>
          </cell>
          <cell r="GV12" t="str">
            <v/>
          </cell>
          <cell r="GY12">
            <v>0</v>
          </cell>
          <cell r="GZ12" t="str">
            <v/>
          </cell>
          <cell r="HC12">
            <v>0</v>
          </cell>
          <cell r="HD12" t="str">
            <v/>
          </cell>
          <cell r="HG12">
            <v>0</v>
          </cell>
          <cell r="HH12" t="str">
            <v/>
          </cell>
          <cell r="HK12">
            <v>0</v>
          </cell>
          <cell r="HL12" t="str">
            <v/>
          </cell>
          <cell r="HO12">
            <v>0</v>
          </cell>
          <cell r="HP12" t="str">
            <v/>
          </cell>
          <cell r="HS12">
            <v>0</v>
          </cell>
          <cell r="HT12" t="str">
            <v/>
          </cell>
          <cell r="HW12">
            <v>0</v>
          </cell>
          <cell r="HX12" t="str">
            <v/>
          </cell>
          <cell r="IA12">
            <v>0</v>
          </cell>
          <cell r="IB12" t="str">
            <v/>
          </cell>
          <cell r="IE12">
            <v>0</v>
          </cell>
          <cell r="IF12" t="str">
            <v/>
          </cell>
          <cell r="II12">
            <v>0</v>
          </cell>
          <cell r="IJ12" t="str">
            <v/>
          </cell>
          <cell r="IM12">
            <v>0</v>
          </cell>
          <cell r="IN12" t="str">
            <v/>
          </cell>
          <cell r="IQ12">
            <v>0</v>
          </cell>
          <cell r="IR12" t="str">
            <v/>
          </cell>
          <cell r="IU12">
            <v>0</v>
          </cell>
          <cell r="IV12" t="str">
            <v/>
          </cell>
          <cell r="IY12">
            <v>0</v>
          </cell>
          <cell r="IZ12" t="str">
            <v/>
          </cell>
          <cell r="JC12">
            <v>0</v>
          </cell>
          <cell r="JD12" t="str">
            <v/>
          </cell>
          <cell r="JG12">
            <v>0</v>
          </cell>
          <cell r="JH12" t="str">
            <v/>
          </cell>
          <cell r="JK12">
            <v>0</v>
          </cell>
          <cell r="JL12" t="str">
            <v/>
          </cell>
          <cell r="JO12" t="e">
            <v>#N/A</v>
          </cell>
          <cell r="JP12" t="e">
            <v>#N/A</v>
          </cell>
          <cell r="JS12" t="e">
            <v>#N/A</v>
          </cell>
          <cell r="JT12" t="e">
            <v>#N/A</v>
          </cell>
          <cell r="JW12">
            <v>0</v>
          </cell>
          <cell r="JX12" t="str">
            <v/>
          </cell>
          <cell r="KA12" t="e">
            <v>#N/A</v>
          </cell>
          <cell r="KB12" t="e">
            <v>#N/A</v>
          </cell>
          <cell r="KE12" t="e">
            <v>#N/A</v>
          </cell>
          <cell r="KF12" t="e">
            <v>#N/A</v>
          </cell>
          <cell r="KI12">
            <v>0</v>
          </cell>
          <cell r="KJ12" t="str">
            <v/>
          </cell>
          <cell r="KM12">
            <v>0</v>
          </cell>
          <cell r="KN12" t="str">
            <v/>
          </cell>
          <cell r="KQ12">
            <v>0</v>
          </cell>
          <cell r="KR12" t="str">
            <v/>
          </cell>
          <cell r="KU12" t="e">
            <v>#N/A</v>
          </cell>
          <cell r="KV12" t="e">
            <v>#N/A</v>
          </cell>
          <cell r="KY12" t="e">
            <v>#N/A</v>
          </cell>
          <cell r="KZ12" t="e">
            <v>#N/A</v>
          </cell>
          <cell r="LC12" t="e">
            <v>#N/A</v>
          </cell>
          <cell r="LD12" t="e">
            <v>#N/A</v>
          </cell>
          <cell r="LG12">
            <v>9</v>
          </cell>
          <cell r="LH12">
            <v>2005</v>
          </cell>
          <cell r="LK12">
            <v>9</v>
          </cell>
          <cell r="LL12" t="str">
            <v>S M ENTERPRISES</v>
          </cell>
          <cell r="LO12">
            <v>9</v>
          </cell>
          <cell r="LP12" t="str">
            <v>Scrap of 220 KV Circuit Breaker</v>
          </cell>
          <cell r="LS12">
            <v>4</v>
          </cell>
          <cell r="LT12" t="str">
            <v/>
          </cell>
          <cell r="LW12">
            <v>9</v>
          </cell>
          <cell r="LX12">
            <v>28</v>
          </cell>
          <cell r="MA12">
            <v>3</v>
          </cell>
          <cell r="MB12" t="str">
            <v/>
          </cell>
          <cell r="ME12">
            <v>9</v>
          </cell>
          <cell r="MF12">
            <v>580</v>
          </cell>
          <cell r="MI12">
            <v>9</v>
          </cell>
          <cell r="MJ12">
            <v>50003</v>
          </cell>
          <cell r="MM12">
            <v>9</v>
          </cell>
          <cell r="MN12">
            <v>9001</v>
          </cell>
          <cell r="MQ12">
            <v>9</v>
          </cell>
          <cell r="MR12">
            <v>59004</v>
          </cell>
          <cell r="MU12">
            <v>9</v>
          </cell>
          <cell r="MV12">
            <v>1180</v>
          </cell>
          <cell r="MY12">
            <v>9</v>
          </cell>
          <cell r="MZ12">
            <v>50.003</v>
          </cell>
          <cell r="NC12">
            <v>9</v>
          </cell>
          <cell r="ND12">
            <v>1327.5796499999999</v>
          </cell>
          <cell r="NG12">
            <v>9</v>
          </cell>
          <cell r="NH12">
            <v>22.501349999999999</v>
          </cell>
          <cell r="NK12">
            <v>9</v>
          </cell>
          <cell r="NL12">
            <v>1305.0782999999999</v>
          </cell>
          <cell r="NO12">
            <v>9</v>
          </cell>
          <cell r="NP12">
            <v>1355</v>
          </cell>
          <cell r="NS12">
            <v>2</v>
          </cell>
          <cell r="NT12" t="str">
            <v/>
          </cell>
          <cell r="NW12">
            <v>5</v>
          </cell>
          <cell r="NX12" t="str">
            <v/>
          </cell>
          <cell r="OA12">
            <v>9</v>
          </cell>
          <cell r="OB12">
            <v>58829</v>
          </cell>
          <cell r="OE12">
            <v>9</v>
          </cell>
          <cell r="OF12">
            <v>12501</v>
          </cell>
          <cell r="OI12">
            <v>9</v>
          </cell>
          <cell r="OJ12">
            <v>12501</v>
          </cell>
          <cell r="OM12">
            <v>6</v>
          </cell>
          <cell r="ON12" t="str">
            <v/>
          </cell>
          <cell r="OQ12">
            <v>9</v>
          </cell>
          <cell r="OR12">
            <v>46328</v>
          </cell>
          <cell r="OU12" t="e">
            <v>#N/A</v>
          </cell>
          <cell r="OV12" t="e">
            <v>#N/A</v>
          </cell>
          <cell r="OY12" t="e">
            <v>#N/A</v>
          </cell>
          <cell r="OZ12" t="e">
            <v>#N/A</v>
          </cell>
          <cell r="PC12">
            <v>9</v>
          </cell>
          <cell r="PD12">
            <v>1770.1061999999999</v>
          </cell>
          <cell r="PG12" t="e">
            <v>#N/A</v>
          </cell>
          <cell r="PH12" t="e">
            <v>#N/A</v>
          </cell>
          <cell r="PK12" t="e">
            <v>#N/A</v>
          </cell>
          <cell r="PL12" t="e">
            <v>#N/A</v>
          </cell>
          <cell r="PO12">
            <v>9</v>
          </cell>
          <cell r="PP12">
            <v>47964</v>
          </cell>
          <cell r="PS12">
            <v>9</v>
          </cell>
          <cell r="PT12">
            <v>50031</v>
          </cell>
          <cell r="PW12">
            <v>1</v>
          </cell>
          <cell r="PX12" t="str">
            <v/>
          </cell>
          <cell r="QA12" t="e">
            <v>#N/A</v>
          </cell>
          <cell r="QB12" t="e">
            <v>#N/A</v>
          </cell>
          <cell r="QE12" t="e">
            <v>#N/A</v>
          </cell>
          <cell r="QF12" t="e">
            <v>#N/A</v>
          </cell>
          <cell r="QI12" t="e">
            <v>#N/A</v>
          </cell>
          <cell r="QJ12" t="e">
            <v>#N/A</v>
          </cell>
          <cell r="QR12">
            <v>9</v>
          </cell>
          <cell r="QS12">
            <v>28</v>
          </cell>
          <cell r="QV12">
            <v>9</v>
          </cell>
          <cell r="QW12" t="str">
            <v>Scrap of 220 KV Circuit Breaker</v>
          </cell>
          <cell r="QZ12">
            <v>9</v>
          </cell>
          <cell r="RA12">
            <v>580</v>
          </cell>
          <cell r="RD12">
            <v>4</v>
          </cell>
          <cell r="RE12" t="str">
            <v/>
          </cell>
          <cell r="RH12">
            <v>3</v>
          </cell>
          <cell r="RI12" t="str">
            <v/>
          </cell>
          <cell r="RL12">
            <v>9</v>
          </cell>
          <cell r="RM12">
            <v>2005</v>
          </cell>
          <cell r="RP12">
            <v>9</v>
          </cell>
          <cell r="RQ12" t="str">
            <v>S M ENTERPRISES</v>
          </cell>
          <cell r="RT12">
            <v>9</v>
          </cell>
          <cell r="RU12">
            <v>50003</v>
          </cell>
          <cell r="RX12">
            <v>9</v>
          </cell>
          <cell r="RY12">
            <v>9001</v>
          </cell>
          <cell r="SB12">
            <v>9</v>
          </cell>
          <cell r="SC12">
            <v>59004</v>
          </cell>
          <cell r="SF12">
            <v>9</v>
          </cell>
          <cell r="SG12">
            <v>1180</v>
          </cell>
          <cell r="SJ12">
            <v>9</v>
          </cell>
          <cell r="SK12">
            <v>50.003</v>
          </cell>
          <cell r="SN12">
            <v>9</v>
          </cell>
          <cell r="SO12">
            <v>1327.5796499999999</v>
          </cell>
          <cell r="SR12">
            <v>9</v>
          </cell>
          <cell r="SS12">
            <v>22.501349999999999</v>
          </cell>
          <cell r="SV12">
            <v>9</v>
          </cell>
          <cell r="SW12">
            <v>1305.0782999999999</v>
          </cell>
          <cell r="SZ12">
            <v>9</v>
          </cell>
          <cell r="TA12">
            <v>1355</v>
          </cell>
          <cell r="TD12">
            <v>2</v>
          </cell>
          <cell r="TE12" t="str">
            <v/>
          </cell>
          <cell r="TH12">
            <v>5</v>
          </cell>
          <cell r="TI12" t="str">
            <v/>
          </cell>
          <cell r="TL12">
            <v>9</v>
          </cell>
          <cell r="TM12">
            <v>58829</v>
          </cell>
          <cell r="TP12">
            <v>9</v>
          </cell>
          <cell r="TQ12">
            <v>12501</v>
          </cell>
          <cell r="TT12">
            <v>9</v>
          </cell>
          <cell r="TU12">
            <v>12501</v>
          </cell>
          <cell r="TX12">
            <v>6</v>
          </cell>
          <cell r="TY12" t="str">
            <v/>
          </cell>
          <cell r="UB12">
            <v>9</v>
          </cell>
          <cell r="UC12">
            <v>46328</v>
          </cell>
          <cell r="UF12" t="e">
            <v>#N/A</v>
          </cell>
          <cell r="UG12" t="e">
            <v>#N/A</v>
          </cell>
          <cell r="UJ12" t="e">
            <v>#N/A</v>
          </cell>
          <cell r="UK12" t="e">
            <v>#N/A</v>
          </cell>
          <cell r="UN12">
            <v>9</v>
          </cell>
          <cell r="UO12">
            <v>1770.1061999999999</v>
          </cell>
          <cell r="UR12" t="e">
            <v>#N/A</v>
          </cell>
          <cell r="US12" t="e">
            <v>#N/A</v>
          </cell>
          <cell r="UV12" t="e">
            <v>#N/A</v>
          </cell>
          <cell r="UW12" t="e">
            <v>#N/A</v>
          </cell>
          <cell r="UZ12">
            <v>9</v>
          </cell>
          <cell r="VA12">
            <v>47964</v>
          </cell>
          <cell r="VD12">
            <v>9</v>
          </cell>
          <cell r="VE12">
            <v>50031</v>
          </cell>
          <cell r="VH12" t="e">
            <v>#N/A</v>
          </cell>
          <cell r="VI12" t="e">
            <v>#N/A</v>
          </cell>
          <cell r="VL12" t="e">
            <v>#N/A</v>
          </cell>
          <cell r="VM12" t="e">
            <v>#N/A</v>
          </cell>
          <cell r="VP12" t="e">
            <v>#N/A</v>
          </cell>
          <cell r="VQ12" t="e">
            <v>#N/A</v>
          </cell>
          <cell r="VT12" t="e">
            <v>#N/A</v>
          </cell>
          <cell r="VU12" t="e">
            <v>#N/A</v>
          </cell>
        </row>
        <row r="13">
          <cell r="A13" t="str">
            <v>+ 2006</v>
          </cell>
          <cell r="I13">
            <v>10</v>
          </cell>
          <cell r="J13" t="str">
            <v>+ 10</v>
          </cell>
          <cell r="GA13">
            <v>0</v>
          </cell>
          <cell r="GB13" t="str">
            <v/>
          </cell>
          <cell r="GE13">
            <v>0</v>
          </cell>
          <cell r="GF13" t="str">
            <v/>
          </cell>
          <cell r="GI13">
            <v>10</v>
          </cell>
          <cell r="GJ13" t="str">
            <v>+ SAHARA ENTERPRISES</v>
          </cell>
          <cell r="GM13">
            <v>0</v>
          </cell>
          <cell r="GN13" t="str">
            <v/>
          </cell>
          <cell r="GQ13">
            <v>0</v>
          </cell>
          <cell r="GR13" t="str">
            <v/>
          </cell>
          <cell r="GU13">
            <v>0</v>
          </cell>
          <cell r="GV13" t="str">
            <v/>
          </cell>
          <cell r="GY13">
            <v>0</v>
          </cell>
          <cell r="GZ13" t="str">
            <v/>
          </cell>
          <cell r="HC13">
            <v>0</v>
          </cell>
          <cell r="HD13" t="str">
            <v/>
          </cell>
          <cell r="HG13">
            <v>0</v>
          </cell>
          <cell r="HH13" t="str">
            <v/>
          </cell>
          <cell r="HK13">
            <v>0</v>
          </cell>
          <cell r="HL13" t="str">
            <v/>
          </cell>
          <cell r="HO13">
            <v>0</v>
          </cell>
          <cell r="HP13" t="str">
            <v/>
          </cell>
          <cell r="HS13">
            <v>0</v>
          </cell>
          <cell r="HT13" t="str">
            <v/>
          </cell>
          <cell r="HW13">
            <v>0</v>
          </cell>
          <cell r="HX13" t="str">
            <v/>
          </cell>
          <cell r="IA13">
            <v>0</v>
          </cell>
          <cell r="IB13" t="str">
            <v/>
          </cell>
          <cell r="IE13">
            <v>0</v>
          </cell>
          <cell r="IF13" t="str">
            <v/>
          </cell>
          <cell r="II13">
            <v>0</v>
          </cell>
          <cell r="IJ13" t="str">
            <v/>
          </cell>
          <cell r="IM13">
            <v>0</v>
          </cell>
          <cell r="IN13" t="str">
            <v/>
          </cell>
          <cell r="IQ13">
            <v>0</v>
          </cell>
          <cell r="IR13" t="str">
            <v/>
          </cell>
          <cell r="IU13">
            <v>0</v>
          </cell>
          <cell r="IV13" t="str">
            <v/>
          </cell>
          <cell r="IY13">
            <v>0</v>
          </cell>
          <cell r="IZ13" t="str">
            <v/>
          </cell>
          <cell r="JC13">
            <v>0</v>
          </cell>
          <cell r="JD13" t="str">
            <v/>
          </cell>
          <cell r="JG13">
            <v>0</v>
          </cell>
          <cell r="JH13" t="str">
            <v/>
          </cell>
          <cell r="JK13">
            <v>0</v>
          </cell>
          <cell r="JL13" t="str">
            <v/>
          </cell>
          <cell r="JO13" t="e">
            <v>#N/A</v>
          </cell>
          <cell r="JP13" t="e">
            <v>#N/A</v>
          </cell>
          <cell r="JS13" t="e">
            <v>#N/A</v>
          </cell>
          <cell r="JT13" t="e">
            <v>#N/A</v>
          </cell>
          <cell r="JW13">
            <v>0</v>
          </cell>
          <cell r="JX13" t="str">
            <v/>
          </cell>
          <cell r="KA13" t="e">
            <v>#N/A</v>
          </cell>
          <cell r="KB13" t="e">
            <v>#N/A</v>
          </cell>
          <cell r="KE13" t="e">
            <v>#N/A</v>
          </cell>
          <cell r="KF13" t="e">
            <v>#N/A</v>
          </cell>
          <cell r="KI13">
            <v>0</v>
          </cell>
          <cell r="KJ13" t="str">
            <v/>
          </cell>
          <cell r="KM13">
            <v>0</v>
          </cell>
          <cell r="KN13" t="str">
            <v/>
          </cell>
          <cell r="KQ13">
            <v>0</v>
          </cell>
          <cell r="KR13" t="str">
            <v/>
          </cell>
          <cell r="KU13" t="e">
            <v>#N/A</v>
          </cell>
          <cell r="KV13" t="e">
            <v>#N/A</v>
          </cell>
          <cell r="KY13" t="e">
            <v>#N/A</v>
          </cell>
          <cell r="KZ13" t="e">
            <v>#N/A</v>
          </cell>
          <cell r="LC13" t="e">
            <v>#N/A</v>
          </cell>
          <cell r="LD13" t="e">
            <v>#N/A</v>
          </cell>
          <cell r="LG13">
            <v>10</v>
          </cell>
          <cell r="LH13">
            <v>2006</v>
          </cell>
          <cell r="LK13">
            <v>10</v>
          </cell>
          <cell r="LL13" t="str">
            <v>SAHARA ENTERPRISES</v>
          </cell>
          <cell r="LO13">
            <v>10</v>
          </cell>
          <cell r="LP13" t="str">
            <v>Scrap of 220 KV CT</v>
          </cell>
          <cell r="LS13">
            <v>4</v>
          </cell>
          <cell r="LT13" t="str">
            <v/>
          </cell>
          <cell r="LW13">
            <v>10</v>
          </cell>
          <cell r="LX13">
            <v>30</v>
          </cell>
          <cell r="MA13">
            <v>3</v>
          </cell>
          <cell r="MB13" t="str">
            <v/>
          </cell>
          <cell r="ME13">
            <v>10</v>
          </cell>
          <cell r="MF13">
            <v>700</v>
          </cell>
          <cell r="MI13">
            <v>10</v>
          </cell>
          <cell r="MJ13">
            <v>54000</v>
          </cell>
          <cell r="MM13">
            <v>10</v>
          </cell>
          <cell r="MN13">
            <v>9720</v>
          </cell>
          <cell r="MQ13">
            <v>10</v>
          </cell>
          <cell r="MR13">
            <v>63720</v>
          </cell>
          <cell r="MU13">
            <v>10</v>
          </cell>
          <cell r="MV13">
            <v>1274</v>
          </cell>
          <cell r="MY13">
            <v>10</v>
          </cell>
          <cell r="MZ13">
            <v>54</v>
          </cell>
          <cell r="NC13">
            <v>10</v>
          </cell>
          <cell r="ND13">
            <v>1433.6999999999998</v>
          </cell>
          <cell r="NG13">
            <v>10</v>
          </cell>
          <cell r="NH13">
            <v>24.3</v>
          </cell>
          <cell r="NK13">
            <v>10</v>
          </cell>
          <cell r="NL13">
            <v>1409.3999999999999</v>
          </cell>
          <cell r="NO13">
            <v>10</v>
          </cell>
          <cell r="NP13">
            <v>1463</v>
          </cell>
          <cell r="NS13">
            <v>2</v>
          </cell>
          <cell r="NT13" t="str">
            <v/>
          </cell>
          <cell r="NW13">
            <v>5</v>
          </cell>
          <cell r="NX13" t="str">
            <v/>
          </cell>
          <cell r="OA13">
            <v>10</v>
          </cell>
          <cell r="OB13">
            <v>63531</v>
          </cell>
          <cell r="OE13">
            <v>10</v>
          </cell>
          <cell r="OF13">
            <v>13500</v>
          </cell>
          <cell r="OI13">
            <v>10</v>
          </cell>
          <cell r="OJ13">
            <v>13500</v>
          </cell>
          <cell r="OM13">
            <v>6</v>
          </cell>
          <cell r="ON13" t="str">
            <v/>
          </cell>
          <cell r="OQ13">
            <v>10</v>
          </cell>
          <cell r="OR13">
            <v>50031</v>
          </cell>
          <cell r="OU13" t="e">
            <v>#N/A</v>
          </cell>
          <cell r="OV13" t="e">
            <v>#N/A</v>
          </cell>
          <cell r="OY13" t="e">
            <v>#N/A</v>
          </cell>
          <cell r="OZ13" t="e">
            <v>#N/A</v>
          </cell>
          <cell r="PC13">
            <v>10</v>
          </cell>
          <cell r="PD13">
            <v>1911.6</v>
          </cell>
          <cell r="PG13" t="e">
            <v>#N/A</v>
          </cell>
          <cell r="PH13" t="e">
            <v>#N/A</v>
          </cell>
          <cell r="PK13" t="e">
            <v>#N/A</v>
          </cell>
          <cell r="PL13" t="e">
            <v>#N/A</v>
          </cell>
          <cell r="PO13">
            <v>10</v>
          </cell>
          <cell r="PP13">
            <v>58829</v>
          </cell>
          <cell r="PS13">
            <v>10</v>
          </cell>
          <cell r="PT13">
            <v>250160</v>
          </cell>
          <cell r="PW13">
            <v>1</v>
          </cell>
          <cell r="PX13" t="str">
            <v/>
          </cell>
          <cell r="QA13" t="e">
            <v>#N/A</v>
          </cell>
          <cell r="QB13" t="e">
            <v>#N/A</v>
          </cell>
          <cell r="QE13" t="e">
            <v>#N/A</v>
          </cell>
          <cell r="QF13" t="e">
            <v>#N/A</v>
          </cell>
          <cell r="QI13" t="e">
            <v>#N/A</v>
          </cell>
          <cell r="QJ13" t="e">
            <v>#N/A</v>
          </cell>
          <cell r="QR13">
            <v>10</v>
          </cell>
          <cell r="QS13">
            <v>30</v>
          </cell>
          <cell r="QV13">
            <v>10</v>
          </cell>
          <cell r="QW13" t="str">
            <v>Scrap of 220 KV CT</v>
          </cell>
          <cell r="QZ13">
            <v>10</v>
          </cell>
          <cell r="RA13">
            <v>700</v>
          </cell>
          <cell r="RD13">
            <v>4</v>
          </cell>
          <cell r="RE13" t="str">
            <v/>
          </cell>
          <cell r="RH13">
            <v>3</v>
          </cell>
          <cell r="RI13" t="str">
            <v/>
          </cell>
          <cell r="RL13">
            <v>10</v>
          </cell>
          <cell r="RM13">
            <v>2006</v>
          </cell>
          <cell r="RP13">
            <v>10</v>
          </cell>
          <cell r="RQ13" t="str">
            <v>SAHARA ENTERPRISES</v>
          </cell>
          <cell r="RT13">
            <v>10</v>
          </cell>
          <cell r="RU13">
            <v>54000</v>
          </cell>
          <cell r="RX13">
            <v>10</v>
          </cell>
          <cell r="RY13">
            <v>9720</v>
          </cell>
          <cell r="SB13">
            <v>10</v>
          </cell>
          <cell r="SC13">
            <v>63720</v>
          </cell>
          <cell r="SF13">
            <v>10</v>
          </cell>
          <cell r="SG13">
            <v>1274</v>
          </cell>
          <cell r="SJ13">
            <v>10</v>
          </cell>
          <cell r="SK13">
            <v>54</v>
          </cell>
          <cell r="SN13">
            <v>10</v>
          </cell>
          <cell r="SO13">
            <v>1433.6999999999998</v>
          </cell>
          <cell r="SR13">
            <v>10</v>
          </cell>
          <cell r="SS13">
            <v>24.3</v>
          </cell>
          <cell r="SV13">
            <v>10</v>
          </cell>
          <cell r="SW13">
            <v>1409.3999999999999</v>
          </cell>
          <cell r="SZ13">
            <v>10</v>
          </cell>
          <cell r="TA13">
            <v>1463</v>
          </cell>
          <cell r="TD13">
            <v>2</v>
          </cell>
          <cell r="TE13" t="str">
            <v/>
          </cell>
          <cell r="TH13">
            <v>5</v>
          </cell>
          <cell r="TI13" t="str">
            <v/>
          </cell>
          <cell r="TL13">
            <v>10</v>
          </cell>
          <cell r="TM13">
            <v>63531</v>
          </cell>
          <cell r="TP13">
            <v>10</v>
          </cell>
          <cell r="TQ13">
            <v>13500</v>
          </cell>
          <cell r="TT13">
            <v>10</v>
          </cell>
          <cell r="TU13">
            <v>13500</v>
          </cell>
          <cell r="TX13">
            <v>6</v>
          </cell>
          <cell r="TY13" t="str">
            <v/>
          </cell>
          <cell r="UB13">
            <v>10</v>
          </cell>
          <cell r="UC13">
            <v>50031</v>
          </cell>
          <cell r="UF13" t="e">
            <v>#N/A</v>
          </cell>
          <cell r="UG13" t="e">
            <v>#N/A</v>
          </cell>
          <cell r="UJ13" t="e">
            <v>#N/A</v>
          </cell>
          <cell r="UK13" t="e">
            <v>#N/A</v>
          </cell>
          <cell r="UN13">
            <v>10</v>
          </cell>
          <cell r="UO13">
            <v>1911.6</v>
          </cell>
          <cell r="UR13" t="e">
            <v>#N/A</v>
          </cell>
          <cell r="US13" t="e">
            <v>#N/A</v>
          </cell>
          <cell r="UV13" t="e">
            <v>#N/A</v>
          </cell>
          <cell r="UW13" t="e">
            <v>#N/A</v>
          </cell>
          <cell r="UZ13">
            <v>10</v>
          </cell>
          <cell r="VA13">
            <v>58829</v>
          </cell>
          <cell r="VD13">
            <v>10</v>
          </cell>
          <cell r="VE13">
            <v>250160</v>
          </cell>
          <cell r="VH13" t="e">
            <v>#N/A</v>
          </cell>
          <cell r="VI13" t="e">
            <v>#N/A</v>
          </cell>
          <cell r="VL13" t="e">
            <v>#N/A</v>
          </cell>
          <cell r="VM13" t="e">
            <v>#N/A</v>
          </cell>
          <cell r="VP13" t="e">
            <v>#N/A</v>
          </cell>
          <cell r="VQ13" t="e">
            <v>#N/A</v>
          </cell>
          <cell r="VT13" t="e">
            <v>#N/A</v>
          </cell>
          <cell r="VU13" t="e">
            <v>#N/A</v>
          </cell>
        </row>
        <row r="14">
          <cell r="A14" t="str">
            <v>+ 2007</v>
          </cell>
          <cell r="I14">
            <v>11</v>
          </cell>
          <cell r="J14" t="str">
            <v>+ 11</v>
          </cell>
          <cell r="GA14">
            <v>0</v>
          </cell>
          <cell r="GB14" t="str">
            <v/>
          </cell>
          <cell r="GE14">
            <v>0</v>
          </cell>
          <cell r="GF14" t="str">
            <v/>
          </cell>
          <cell r="GI14">
            <v>11</v>
          </cell>
          <cell r="GJ14" t="str">
            <v>+ SHAR JAHAN TRADERS</v>
          </cell>
          <cell r="GM14">
            <v>0</v>
          </cell>
          <cell r="GN14" t="str">
            <v/>
          </cell>
          <cell r="GQ14">
            <v>0</v>
          </cell>
          <cell r="GR14" t="str">
            <v/>
          </cell>
          <cell r="GU14">
            <v>0</v>
          </cell>
          <cell r="GV14" t="str">
            <v/>
          </cell>
          <cell r="GY14">
            <v>0</v>
          </cell>
          <cell r="GZ14" t="str">
            <v/>
          </cell>
          <cell r="HC14">
            <v>0</v>
          </cell>
          <cell r="HD14" t="str">
            <v/>
          </cell>
          <cell r="HG14">
            <v>0</v>
          </cell>
          <cell r="HH14" t="str">
            <v/>
          </cell>
          <cell r="HK14">
            <v>0</v>
          </cell>
          <cell r="HL14" t="str">
            <v/>
          </cell>
          <cell r="HO14">
            <v>0</v>
          </cell>
          <cell r="HP14" t="str">
            <v/>
          </cell>
          <cell r="HS14">
            <v>0</v>
          </cell>
          <cell r="HT14" t="str">
            <v/>
          </cell>
          <cell r="HW14">
            <v>0</v>
          </cell>
          <cell r="HX14" t="str">
            <v/>
          </cell>
          <cell r="IA14">
            <v>0</v>
          </cell>
          <cell r="IB14" t="str">
            <v/>
          </cell>
          <cell r="IE14">
            <v>0</v>
          </cell>
          <cell r="IF14" t="str">
            <v/>
          </cell>
          <cell r="II14">
            <v>0</v>
          </cell>
          <cell r="IJ14" t="str">
            <v/>
          </cell>
          <cell r="IM14">
            <v>0</v>
          </cell>
          <cell r="IN14" t="str">
            <v/>
          </cell>
          <cell r="IQ14">
            <v>0</v>
          </cell>
          <cell r="IR14" t="str">
            <v/>
          </cell>
          <cell r="IU14">
            <v>0</v>
          </cell>
          <cell r="IV14" t="str">
            <v/>
          </cell>
          <cell r="IY14">
            <v>0</v>
          </cell>
          <cell r="IZ14" t="str">
            <v/>
          </cell>
          <cell r="JC14">
            <v>0</v>
          </cell>
          <cell r="JD14" t="str">
            <v/>
          </cell>
          <cell r="JG14">
            <v>0</v>
          </cell>
          <cell r="JH14" t="str">
            <v/>
          </cell>
          <cell r="JK14">
            <v>0</v>
          </cell>
          <cell r="JL14" t="str">
            <v/>
          </cell>
          <cell r="JO14" t="e">
            <v>#N/A</v>
          </cell>
          <cell r="JP14" t="e">
            <v>#N/A</v>
          </cell>
          <cell r="JS14" t="e">
            <v>#N/A</v>
          </cell>
          <cell r="JT14" t="e">
            <v>#N/A</v>
          </cell>
          <cell r="JW14">
            <v>0</v>
          </cell>
          <cell r="JX14" t="str">
            <v/>
          </cell>
          <cell r="KA14" t="e">
            <v>#N/A</v>
          </cell>
          <cell r="KB14" t="e">
            <v>#N/A</v>
          </cell>
          <cell r="KE14" t="e">
            <v>#N/A</v>
          </cell>
          <cell r="KF14" t="e">
            <v>#N/A</v>
          </cell>
          <cell r="KI14">
            <v>0</v>
          </cell>
          <cell r="KJ14" t="str">
            <v/>
          </cell>
          <cell r="KM14">
            <v>0</v>
          </cell>
          <cell r="KN14" t="str">
            <v/>
          </cell>
          <cell r="KQ14">
            <v>0</v>
          </cell>
          <cell r="KR14" t="str">
            <v/>
          </cell>
          <cell r="KU14" t="e">
            <v>#N/A</v>
          </cell>
          <cell r="KV14" t="e">
            <v>#N/A</v>
          </cell>
          <cell r="KY14" t="e">
            <v>#N/A</v>
          </cell>
          <cell r="KZ14" t="e">
            <v>#N/A</v>
          </cell>
          <cell r="LC14" t="e">
            <v>#N/A</v>
          </cell>
          <cell r="LD14" t="e">
            <v>#N/A</v>
          </cell>
          <cell r="LG14">
            <v>11</v>
          </cell>
          <cell r="LH14">
            <v>2007</v>
          </cell>
          <cell r="LK14">
            <v>11</v>
          </cell>
          <cell r="LL14" t="str">
            <v>SHAR JAHAN TRADERS</v>
          </cell>
          <cell r="LO14">
            <v>11</v>
          </cell>
          <cell r="LP14" t="str">
            <v>Scrap of 220KV CT</v>
          </cell>
          <cell r="LS14">
            <v>4</v>
          </cell>
          <cell r="LT14" t="str">
            <v/>
          </cell>
          <cell r="LW14">
            <v>11</v>
          </cell>
          <cell r="LX14">
            <v>50</v>
          </cell>
          <cell r="MA14">
            <v>3</v>
          </cell>
          <cell r="MB14" t="str">
            <v/>
          </cell>
          <cell r="ME14">
            <v>11</v>
          </cell>
          <cell r="MF14">
            <v>702</v>
          </cell>
          <cell r="MI14">
            <v>11</v>
          </cell>
          <cell r="MJ14">
            <v>63000</v>
          </cell>
          <cell r="MM14">
            <v>11</v>
          </cell>
          <cell r="MN14">
            <v>11340</v>
          </cell>
          <cell r="MQ14">
            <v>11</v>
          </cell>
          <cell r="MR14">
            <v>74340</v>
          </cell>
          <cell r="MU14">
            <v>11</v>
          </cell>
          <cell r="MV14">
            <v>1487</v>
          </cell>
          <cell r="MY14">
            <v>11</v>
          </cell>
          <cell r="MZ14">
            <v>63</v>
          </cell>
          <cell r="NC14">
            <v>11</v>
          </cell>
          <cell r="ND14">
            <v>1672.6499999999999</v>
          </cell>
          <cell r="NG14">
            <v>11</v>
          </cell>
          <cell r="NH14">
            <v>28.35</v>
          </cell>
          <cell r="NK14">
            <v>11</v>
          </cell>
          <cell r="NL14">
            <v>1644.3</v>
          </cell>
          <cell r="NO14">
            <v>11</v>
          </cell>
          <cell r="NP14">
            <v>1707</v>
          </cell>
          <cell r="NS14">
            <v>2</v>
          </cell>
          <cell r="NT14" t="str">
            <v/>
          </cell>
          <cell r="NW14">
            <v>5</v>
          </cell>
          <cell r="NX14" t="str">
            <v/>
          </cell>
          <cell r="OA14">
            <v>11</v>
          </cell>
          <cell r="OB14">
            <v>74120</v>
          </cell>
          <cell r="OE14">
            <v>11</v>
          </cell>
          <cell r="OF14">
            <v>15750</v>
          </cell>
          <cell r="OI14">
            <v>11</v>
          </cell>
          <cell r="OJ14">
            <v>15750</v>
          </cell>
          <cell r="OM14">
            <v>6</v>
          </cell>
          <cell r="ON14" t="str">
            <v/>
          </cell>
          <cell r="OQ14">
            <v>11</v>
          </cell>
          <cell r="OR14">
            <v>58370</v>
          </cell>
          <cell r="OU14" t="e">
            <v>#N/A</v>
          </cell>
          <cell r="OV14" t="e">
            <v>#N/A</v>
          </cell>
          <cell r="OY14" t="e">
            <v>#N/A</v>
          </cell>
          <cell r="OZ14" t="e">
            <v>#N/A</v>
          </cell>
          <cell r="PC14">
            <v>11</v>
          </cell>
          <cell r="PD14">
            <v>2230.1999999999998</v>
          </cell>
          <cell r="PG14" t="e">
            <v>#N/A</v>
          </cell>
          <cell r="PH14" t="e">
            <v>#N/A</v>
          </cell>
          <cell r="PK14" t="e">
            <v>#N/A</v>
          </cell>
          <cell r="PL14" t="e">
            <v>#N/A</v>
          </cell>
          <cell r="PO14">
            <v>11</v>
          </cell>
          <cell r="PP14">
            <v>67502</v>
          </cell>
          <cell r="PS14">
            <v>11</v>
          </cell>
          <cell r="PT14">
            <v>498031</v>
          </cell>
          <cell r="PW14">
            <v>1</v>
          </cell>
          <cell r="PX14" t="str">
            <v/>
          </cell>
          <cell r="QA14" t="e">
            <v>#N/A</v>
          </cell>
          <cell r="QB14" t="e">
            <v>#N/A</v>
          </cell>
          <cell r="QE14" t="e">
            <v>#N/A</v>
          </cell>
          <cell r="QF14" t="e">
            <v>#N/A</v>
          </cell>
          <cell r="QI14" t="e">
            <v>#N/A</v>
          </cell>
          <cell r="QJ14" t="e">
            <v>#N/A</v>
          </cell>
          <cell r="QR14">
            <v>11</v>
          </cell>
          <cell r="QS14">
            <v>50</v>
          </cell>
          <cell r="QV14">
            <v>11</v>
          </cell>
          <cell r="QW14" t="str">
            <v>Scrap of 220KV CT</v>
          </cell>
          <cell r="QZ14">
            <v>11</v>
          </cell>
          <cell r="RA14">
            <v>702</v>
          </cell>
          <cell r="RD14">
            <v>4</v>
          </cell>
          <cell r="RE14" t="str">
            <v/>
          </cell>
          <cell r="RH14">
            <v>3</v>
          </cell>
          <cell r="RI14" t="str">
            <v/>
          </cell>
          <cell r="RL14">
            <v>11</v>
          </cell>
          <cell r="RM14">
            <v>2007</v>
          </cell>
          <cell r="RP14">
            <v>11</v>
          </cell>
          <cell r="RQ14" t="str">
            <v>SHAR JAHAN TRADERS</v>
          </cell>
          <cell r="RT14">
            <v>11</v>
          </cell>
          <cell r="RU14">
            <v>63000</v>
          </cell>
          <cell r="RX14">
            <v>11</v>
          </cell>
          <cell r="RY14">
            <v>11340</v>
          </cell>
          <cell r="SB14">
            <v>11</v>
          </cell>
          <cell r="SC14">
            <v>74340</v>
          </cell>
          <cell r="SF14">
            <v>11</v>
          </cell>
          <cell r="SG14">
            <v>1487</v>
          </cell>
          <cell r="SJ14">
            <v>11</v>
          </cell>
          <cell r="SK14">
            <v>63</v>
          </cell>
          <cell r="SN14">
            <v>11</v>
          </cell>
          <cell r="SO14">
            <v>1672.6499999999999</v>
          </cell>
          <cell r="SR14">
            <v>11</v>
          </cell>
          <cell r="SS14">
            <v>28.35</v>
          </cell>
          <cell r="SV14">
            <v>11</v>
          </cell>
          <cell r="SW14">
            <v>1644.3</v>
          </cell>
          <cell r="SZ14">
            <v>11</v>
          </cell>
          <cell r="TA14">
            <v>1707</v>
          </cell>
          <cell r="TD14">
            <v>2</v>
          </cell>
          <cell r="TE14" t="str">
            <v/>
          </cell>
          <cell r="TH14">
            <v>5</v>
          </cell>
          <cell r="TI14" t="str">
            <v/>
          </cell>
          <cell r="TL14">
            <v>11</v>
          </cell>
          <cell r="TM14">
            <v>74120</v>
          </cell>
          <cell r="TP14">
            <v>11</v>
          </cell>
          <cell r="TQ14">
            <v>15750</v>
          </cell>
          <cell r="TT14">
            <v>11</v>
          </cell>
          <cell r="TU14">
            <v>15750</v>
          </cell>
          <cell r="TX14">
            <v>6</v>
          </cell>
          <cell r="TY14" t="str">
            <v/>
          </cell>
          <cell r="UB14">
            <v>11</v>
          </cell>
          <cell r="UC14">
            <v>58370</v>
          </cell>
          <cell r="UF14" t="e">
            <v>#N/A</v>
          </cell>
          <cell r="UG14" t="e">
            <v>#N/A</v>
          </cell>
          <cell r="UJ14" t="e">
            <v>#N/A</v>
          </cell>
          <cell r="UK14" t="e">
            <v>#N/A</v>
          </cell>
          <cell r="UN14">
            <v>11</v>
          </cell>
          <cell r="UO14">
            <v>2230.1999999999998</v>
          </cell>
          <cell r="UR14" t="e">
            <v>#N/A</v>
          </cell>
          <cell r="US14" t="e">
            <v>#N/A</v>
          </cell>
          <cell r="UV14" t="e">
            <v>#N/A</v>
          </cell>
          <cell r="UW14" t="e">
            <v>#N/A</v>
          </cell>
          <cell r="UZ14">
            <v>11</v>
          </cell>
          <cell r="VA14">
            <v>67502</v>
          </cell>
          <cell r="VD14">
            <v>11</v>
          </cell>
          <cell r="VE14">
            <v>498031</v>
          </cell>
          <cell r="VH14" t="e">
            <v>#N/A</v>
          </cell>
          <cell r="VI14" t="e">
            <v>#N/A</v>
          </cell>
          <cell r="VL14" t="e">
            <v>#N/A</v>
          </cell>
          <cell r="VM14" t="e">
            <v>#N/A</v>
          </cell>
          <cell r="VP14" t="e">
            <v>#N/A</v>
          </cell>
          <cell r="VQ14" t="e">
            <v>#N/A</v>
          </cell>
          <cell r="VT14" t="e">
            <v>#N/A</v>
          </cell>
          <cell r="VU14" t="e">
            <v>#N/A</v>
          </cell>
        </row>
        <row r="15">
          <cell r="A15" t="str">
            <v>+ 2008</v>
          </cell>
          <cell r="I15">
            <v>12</v>
          </cell>
          <cell r="J15" t="str">
            <v>+ 12</v>
          </cell>
          <cell r="GA15">
            <v>0</v>
          </cell>
          <cell r="GB15" t="str">
            <v/>
          </cell>
          <cell r="GE15">
            <v>0</v>
          </cell>
          <cell r="GF15" t="str">
            <v/>
          </cell>
          <cell r="GI15">
            <v>12</v>
          </cell>
          <cell r="GJ15" t="str">
            <v>+ STERLING ENTERPRISES</v>
          </cell>
          <cell r="GM15">
            <v>0</v>
          </cell>
          <cell r="GN15" t="str">
            <v/>
          </cell>
          <cell r="GQ15">
            <v>0</v>
          </cell>
          <cell r="GR15" t="str">
            <v/>
          </cell>
          <cell r="GU15">
            <v>0</v>
          </cell>
          <cell r="GV15" t="str">
            <v/>
          </cell>
          <cell r="GY15">
            <v>0</v>
          </cell>
          <cell r="GZ15" t="str">
            <v/>
          </cell>
          <cell r="HC15">
            <v>0</v>
          </cell>
          <cell r="HD15" t="str">
            <v/>
          </cell>
          <cell r="HG15">
            <v>0</v>
          </cell>
          <cell r="HH15" t="str">
            <v/>
          </cell>
          <cell r="HK15">
            <v>0</v>
          </cell>
          <cell r="HL15" t="str">
            <v/>
          </cell>
          <cell r="HO15">
            <v>0</v>
          </cell>
          <cell r="HP15" t="str">
            <v/>
          </cell>
          <cell r="HS15">
            <v>0</v>
          </cell>
          <cell r="HT15" t="str">
            <v/>
          </cell>
          <cell r="HW15">
            <v>0</v>
          </cell>
          <cell r="HX15" t="str">
            <v/>
          </cell>
          <cell r="IA15">
            <v>0</v>
          </cell>
          <cell r="IB15" t="str">
            <v/>
          </cell>
          <cell r="IE15">
            <v>0</v>
          </cell>
          <cell r="IF15" t="str">
            <v/>
          </cell>
          <cell r="II15">
            <v>0</v>
          </cell>
          <cell r="IJ15" t="str">
            <v/>
          </cell>
          <cell r="IM15">
            <v>0</v>
          </cell>
          <cell r="IN15" t="str">
            <v/>
          </cell>
          <cell r="IQ15">
            <v>0</v>
          </cell>
          <cell r="IR15" t="str">
            <v/>
          </cell>
          <cell r="IU15">
            <v>0</v>
          </cell>
          <cell r="IV15" t="str">
            <v/>
          </cell>
          <cell r="IY15">
            <v>0</v>
          </cell>
          <cell r="IZ15" t="str">
            <v/>
          </cell>
          <cell r="JC15">
            <v>0</v>
          </cell>
          <cell r="JD15" t="str">
            <v/>
          </cell>
          <cell r="JG15">
            <v>0</v>
          </cell>
          <cell r="JH15" t="str">
            <v/>
          </cell>
          <cell r="JK15">
            <v>0</v>
          </cell>
          <cell r="JL15" t="str">
            <v/>
          </cell>
          <cell r="JO15" t="e">
            <v>#N/A</v>
          </cell>
          <cell r="JP15" t="e">
            <v>#N/A</v>
          </cell>
          <cell r="JS15" t="e">
            <v>#N/A</v>
          </cell>
          <cell r="JT15" t="e">
            <v>#N/A</v>
          </cell>
          <cell r="JW15">
            <v>0</v>
          </cell>
          <cell r="JX15" t="str">
            <v/>
          </cell>
          <cell r="KA15" t="e">
            <v>#N/A</v>
          </cell>
          <cell r="KB15" t="e">
            <v>#N/A</v>
          </cell>
          <cell r="KE15" t="e">
            <v>#N/A</v>
          </cell>
          <cell r="KF15" t="e">
            <v>#N/A</v>
          </cell>
          <cell r="KI15">
            <v>0</v>
          </cell>
          <cell r="KJ15" t="str">
            <v/>
          </cell>
          <cell r="KM15">
            <v>0</v>
          </cell>
          <cell r="KN15" t="str">
            <v/>
          </cell>
          <cell r="KQ15">
            <v>0</v>
          </cell>
          <cell r="KR15" t="str">
            <v/>
          </cell>
          <cell r="KU15" t="e">
            <v>#N/A</v>
          </cell>
          <cell r="KV15" t="e">
            <v>#N/A</v>
          </cell>
          <cell r="KY15" t="e">
            <v>#N/A</v>
          </cell>
          <cell r="KZ15" t="e">
            <v>#N/A</v>
          </cell>
          <cell r="LC15" t="e">
            <v>#N/A</v>
          </cell>
          <cell r="LD15" t="e">
            <v>#N/A</v>
          </cell>
          <cell r="LG15">
            <v>12</v>
          </cell>
          <cell r="LH15">
            <v>2008</v>
          </cell>
          <cell r="LK15">
            <v>12</v>
          </cell>
          <cell r="LL15" t="str">
            <v>STERLING ENTERPRISES</v>
          </cell>
          <cell r="LO15">
            <v>12</v>
          </cell>
          <cell r="LP15" t="str">
            <v>Scrap of 33 KV CB</v>
          </cell>
          <cell r="LS15">
            <v>4</v>
          </cell>
          <cell r="LT15" t="str">
            <v/>
          </cell>
          <cell r="LW15">
            <v>12</v>
          </cell>
          <cell r="LX15">
            <v>90</v>
          </cell>
          <cell r="MA15">
            <v>3</v>
          </cell>
          <cell r="MB15" t="str">
            <v/>
          </cell>
          <cell r="ME15">
            <v>12</v>
          </cell>
          <cell r="MF15">
            <v>710</v>
          </cell>
          <cell r="MI15">
            <v>12</v>
          </cell>
          <cell r="MJ15">
            <v>65007</v>
          </cell>
          <cell r="MM15">
            <v>12</v>
          </cell>
          <cell r="MN15">
            <v>11701</v>
          </cell>
          <cell r="MQ15">
            <v>12</v>
          </cell>
          <cell r="MR15">
            <v>76708</v>
          </cell>
          <cell r="MU15">
            <v>12</v>
          </cell>
          <cell r="MV15">
            <v>1534</v>
          </cell>
          <cell r="MY15">
            <v>12</v>
          </cell>
          <cell r="MZ15">
            <v>65.007000000000005</v>
          </cell>
          <cell r="NC15">
            <v>12</v>
          </cell>
          <cell r="ND15">
            <v>1725.9358499999998</v>
          </cell>
          <cell r="NG15">
            <v>12</v>
          </cell>
          <cell r="NH15">
            <v>29.253150000000002</v>
          </cell>
          <cell r="NK15">
            <v>12</v>
          </cell>
          <cell r="NL15">
            <v>1696.6826999999998</v>
          </cell>
          <cell r="NO15">
            <v>12</v>
          </cell>
          <cell r="NP15">
            <v>1762</v>
          </cell>
          <cell r="NS15">
            <v>2</v>
          </cell>
          <cell r="NT15" t="str">
            <v/>
          </cell>
          <cell r="NW15">
            <v>5</v>
          </cell>
          <cell r="NX15" t="str">
            <v/>
          </cell>
          <cell r="OA15">
            <v>12</v>
          </cell>
          <cell r="OB15">
            <v>76481</v>
          </cell>
          <cell r="OE15">
            <v>12</v>
          </cell>
          <cell r="OF15">
            <v>16252</v>
          </cell>
          <cell r="OI15">
            <v>12</v>
          </cell>
          <cell r="OJ15">
            <v>16252</v>
          </cell>
          <cell r="OM15">
            <v>6</v>
          </cell>
          <cell r="ON15" t="str">
            <v/>
          </cell>
          <cell r="OQ15">
            <v>12</v>
          </cell>
          <cell r="OR15">
            <v>60229</v>
          </cell>
          <cell r="OU15" t="e">
            <v>#N/A</v>
          </cell>
          <cell r="OV15" t="e">
            <v>#N/A</v>
          </cell>
          <cell r="OY15" t="e">
            <v>#N/A</v>
          </cell>
          <cell r="OZ15" t="e">
            <v>#N/A</v>
          </cell>
          <cell r="PC15">
            <v>12</v>
          </cell>
          <cell r="PD15">
            <v>2301.2478000000001</v>
          </cell>
          <cell r="PG15" t="e">
            <v>#N/A</v>
          </cell>
          <cell r="PH15" t="e">
            <v>#N/A</v>
          </cell>
          <cell r="PK15" t="e">
            <v>#N/A</v>
          </cell>
          <cell r="PL15" t="e">
            <v>#N/A</v>
          </cell>
          <cell r="PO15">
            <v>12</v>
          </cell>
          <cell r="PP15">
            <v>74168</v>
          </cell>
          <cell r="PS15">
            <v>11</v>
          </cell>
          <cell r="PT15" t="str">
            <v/>
          </cell>
          <cell r="PW15">
            <v>1</v>
          </cell>
          <cell r="PX15" t="str">
            <v/>
          </cell>
          <cell r="QA15" t="e">
            <v>#N/A</v>
          </cell>
          <cell r="QB15" t="e">
            <v>#N/A</v>
          </cell>
          <cell r="QE15" t="e">
            <v>#N/A</v>
          </cell>
          <cell r="QF15" t="e">
            <v>#N/A</v>
          </cell>
          <cell r="QI15" t="e">
            <v>#N/A</v>
          </cell>
          <cell r="QJ15" t="e">
            <v>#N/A</v>
          </cell>
          <cell r="QR15">
            <v>12</v>
          </cell>
          <cell r="QS15">
            <v>90</v>
          </cell>
          <cell r="QV15">
            <v>12</v>
          </cell>
          <cell r="QW15" t="str">
            <v>Scrap of 33 KV CB</v>
          </cell>
          <cell r="QZ15">
            <v>12</v>
          </cell>
          <cell r="RA15">
            <v>710</v>
          </cell>
          <cell r="RD15">
            <v>4</v>
          </cell>
          <cell r="RE15" t="str">
            <v/>
          </cell>
          <cell r="RH15">
            <v>3</v>
          </cell>
          <cell r="RI15" t="str">
            <v/>
          </cell>
          <cell r="RL15">
            <v>12</v>
          </cell>
          <cell r="RM15">
            <v>2008</v>
          </cell>
          <cell r="RP15">
            <v>12</v>
          </cell>
          <cell r="RQ15" t="str">
            <v>STERLING ENTERPRISES</v>
          </cell>
          <cell r="RT15">
            <v>12</v>
          </cell>
          <cell r="RU15">
            <v>65007</v>
          </cell>
          <cell r="RX15">
            <v>12</v>
          </cell>
          <cell r="RY15">
            <v>11701</v>
          </cell>
          <cell r="SB15">
            <v>12</v>
          </cell>
          <cell r="SC15">
            <v>76708</v>
          </cell>
          <cell r="SF15">
            <v>12</v>
          </cell>
          <cell r="SG15">
            <v>1534</v>
          </cell>
          <cell r="SJ15">
            <v>12</v>
          </cell>
          <cell r="SK15">
            <v>65.007000000000005</v>
          </cell>
          <cell r="SN15">
            <v>12</v>
          </cell>
          <cell r="SO15">
            <v>1725.9358499999998</v>
          </cell>
          <cell r="SR15">
            <v>12</v>
          </cell>
          <cell r="SS15">
            <v>29.253150000000002</v>
          </cell>
          <cell r="SV15">
            <v>12</v>
          </cell>
          <cell r="SW15">
            <v>1696.6826999999998</v>
          </cell>
          <cell r="SZ15">
            <v>12</v>
          </cell>
          <cell r="TA15">
            <v>1762</v>
          </cell>
          <cell r="TD15">
            <v>2</v>
          </cell>
          <cell r="TE15" t="str">
            <v/>
          </cell>
          <cell r="TH15">
            <v>5</v>
          </cell>
          <cell r="TI15" t="str">
            <v/>
          </cell>
          <cell r="TL15">
            <v>12</v>
          </cell>
          <cell r="TM15">
            <v>76481</v>
          </cell>
          <cell r="TP15">
            <v>12</v>
          </cell>
          <cell r="TQ15">
            <v>16252</v>
          </cell>
          <cell r="TT15">
            <v>12</v>
          </cell>
          <cell r="TU15">
            <v>16252</v>
          </cell>
          <cell r="TX15">
            <v>6</v>
          </cell>
          <cell r="TY15" t="str">
            <v/>
          </cell>
          <cell r="UB15">
            <v>12</v>
          </cell>
          <cell r="UC15">
            <v>60229</v>
          </cell>
          <cell r="UF15" t="e">
            <v>#N/A</v>
          </cell>
          <cell r="UG15" t="e">
            <v>#N/A</v>
          </cell>
          <cell r="UJ15" t="e">
            <v>#N/A</v>
          </cell>
          <cell r="UK15" t="e">
            <v>#N/A</v>
          </cell>
          <cell r="UN15">
            <v>12</v>
          </cell>
          <cell r="UO15">
            <v>2301.2478000000001</v>
          </cell>
          <cell r="UR15" t="e">
            <v>#N/A</v>
          </cell>
          <cell r="US15" t="e">
            <v>#N/A</v>
          </cell>
          <cell r="UV15" t="e">
            <v>#N/A</v>
          </cell>
          <cell r="UW15" t="e">
            <v>#N/A</v>
          </cell>
          <cell r="UZ15">
            <v>12</v>
          </cell>
          <cell r="VA15">
            <v>74168</v>
          </cell>
          <cell r="VD15">
            <v>11</v>
          </cell>
          <cell r="VE15" t="str">
            <v/>
          </cell>
          <cell r="VH15" t="e">
            <v>#N/A</v>
          </cell>
          <cell r="VI15" t="e">
            <v>#N/A</v>
          </cell>
          <cell r="VL15" t="e">
            <v>#N/A</v>
          </cell>
          <cell r="VM15" t="e">
            <v>#N/A</v>
          </cell>
          <cell r="VP15" t="e">
            <v>#N/A</v>
          </cell>
          <cell r="VQ15" t="e">
            <v>#N/A</v>
          </cell>
          <cell r="VT15" t="e">
            <v>#N/A</v>
          </cell>
          <cell r="VU15" t="e">
            <v>#N/A</v>
          </cell>
        </row>
        <row r="16">
          <cell r="A16" t="str">
            <v>+ 2011</v>
          </cell>
          <cell r="I16">
            <v>13</v>
          </cell>
          <cell r="J16" t="str">
            <v>+ 13</v>
          </cell>
          <cell r="GA16">
            <v>0</v>
          </cell>
          <cell r="GB16" t="str">
            <v/>
          </cell>
          <cell r="GE16">
            <v>0</v>
          </cell>
          <cell r="GF16" t="str">
            <v/>
          </cell>
          <cell r="GI16">
            <v>13</v>
          </cell>
          <cell r="GJ16" t="str">
            <v>+ WATAN SCRAP TRADERS</v>
          </cell>
          <cell r="GM16">
            <v>0</v>
          </cell>
          <cell r="GN16" t="str">
            <v/>
          </cell>
          <cell r="GQ16">
            <v>0</v>
          </cell>
          <cell r="GR16" t="str">
            <v/>
          </cell>
          <cell r="GU16">
            <v>0</v>
          </cell>
          <cell r="GV16" t="str">
            <v/>
          </cell>
          <cell r="GY16">
            <v>0</v>
          </cell>
          <cell r="GZ16" t="str">
            <v/>
          </cell>
          <cell r="HC16">
            <v>0</v>
          </cell>
          <cell r="HD16" t="str">
            <v/>
          </cell>
          <cell r="HG16">
            <v>0</v>
          </cell>
          <cell r="HH16" t="str">
            <v/>
          </cell>
          <cell r="HK16">
            <v>0</v>
          </cell>
          <cell r="HL16" t="str">
            <v/>
          </cell>
          <cell r="HO16">
            <v>0</v>
          </cell>
          <cell r="HP16" t="str">
            <v/>
          </cell>
          <cell r="HS16">
            <v>0</v>
          </cell>
          <cell r="HT16" t="str">
            <v/>
          </cell>
          <cell r="HW16">
            <v>0</v>
          </cell>
          <cell r="HX16" t="str">
            <v/>
          </cell>
          <cell r="IA16">
            <v>0</v>
          </cell>
          <cell r="IB16" t="str">
            <v/>
          </cell>
          <cell r="IE16">
            <v>0</v>
          </cell>
          <cell r="IF16" t="str">
            <v/>
          </cell>
          <cell r="II16">
            <v>0</v>
          </cell>
          <cell r="IJ16" t="str">
            <v/>
          </cell>
          <cell r="IM16">
            <v>0</v>
          </cell>
          <cell r="IN16" t="str">
            <v/>
          </cell>
          <cell r="IQ16">
            <v>0</v>
          </cell>
          <cell r="IR16" t="str">
            <v/>
          </cell>
          <cell r="IU16">
            <v>0</v>
          </cell>
          <cell r="IV16" t="str">
            <v/>
          </cell>
          <cell r="IY16">
            <v>0</v>
          </cell>
          <cell r="IZ16" t="str">
            <v/>
          </cell>
          <cell r="JC16">
            <v>0</v>
          </cell>
          <cell r="JD16" t="str">
            <v/>
          </cell>
          <cell r="JG16">
            <v>0</v>
          </cell>
          <cell r="JH16" t="str">
            <v/>
          </cell>
          <cell r="JK16">
            <v>0</v>
          </cell>
          <cell r="JL16" t="str">
            <v/>
          </cell>
          <cell r="JO16" t="e">
            <v>#N/A</v>
          </cell>
          <cell r="JP16" t="e">
            <v>#N/A</v>
          </cell>
          <cell r="JS16" t="e">
            <v>#N/A</v>
          </cell>
          <cell r="JT16" t="e">
            <v>#N/A</v>
          </cell>
          <cell r="JW16">
            <v>0</v>
          </cell>
          <cell r="JX16" t="str">
            <v/>
          </cell>
          <cell r="KA16" t="e">
            <v>#N/A</v>
          </cell>
          <cell r="KB16" t="e">
            <v>#N/A</v>
          </cell>
          <cell r="KE16" t="e">
            <v>#N/A</v>
          </cell>
          <cell r="KF16" t="e">
            <v>#N/A</v>
          </cell>
          <cell r="KI16">
            <v>0</v>
          </cell>
          <cell r="KJ16" t="str">
            <v/>
          </cell>
          <cell r="KM16">
            <v>0</v>
          </cell>
          <cell r="KN16" t="str">
            <v/>
          </cell>
          <cell r="KQ16">
            <v>0</v>
          </cell>
          <cell r="KR16" t="str">
            <v/>
          </cell>
          <cell r="KU16" t="e">
            <v>#N/A</v>
          </cell>
          <cell r="KV16" t="e">
            <v>#N/A</v>
          </cell>
          <cell r="KY16" t="e">
            <v>#N/A</v>
          </cell>
          <cell r="KZ16" t="e">
            <v>#N/A</v>
          </cell>
          <cell r="LC16" t="e">
            <v>#N/A</v>
          </cell>
          <cell r="LD16" t="e">
            <v>#N/A</v>
          </cell>
          <cell r="LG16">
            <v>13</v>
          </cell>
          <cell r="LH16">
            <v>2011</v>
          </cell>
          <cell r="LK16">
            <v>13</v>
          </cell>
          <cell r="LL16" t="str">
            <v>WATAN SCRAP TRADERS</v>
          </cell>
          <cell r="LO16">
            <v>13</v>
          </cell>
          <cell r="LP16" t="str">
            <v>Scrap of 33 KV CT</v>
          </cell>
          <cell r="LS16">
            <v>4</v>
          </cell>
          <cell r="LT16" t="str">
            <v/>
          </cell>
          <cell r="LW16">
            <v>13</v>
          </cell>
          <cell r="LX16">
            <v>100</v>
          </cell>
          <cell r="MA16">
            <v>3</v>
          </cell>
          <cell r="MB16" t="str">
            <v/>
          </cell>
          <cell r="ME16">
            <v>13</v>
          </cell>
          <cell r="MF16">
            <v>1181</v>
          </cell>
          <cell r="MI16">
            <v>13</v>
          </cell>
          <cell r="MJ16">
            <v>70006</v>
          </cell>
          <cell r="MM16">
            <v>13</v>
          </cell>
          <cell r="MN16">
            <v>12601</v>
          </cell>
          <cell r="MQ16">
            <v>13</v>
          </cell>
          <cell r="MR16">
            <v>82607</v>
          </cell>
          <cell r="MU16">
            <v>13</v>
          </cell>
          <cell r="MV16">
            <v>1652</v>
          </cell>
          <cell r="MY16">
            <v>13</v>
          </cell>
          <cell r="MZ16">
            <v>70.006</v>
          </cell>
          <cell r="NC16">
            <v>13</v>
          </cell>
          <cell r="ND16">
            <v>1858.6592999999998</v>
          </cell>
          <cell r="NG16">
            <v>13</v>
          </cell>
          <cell r="NH16">
            <v>31.502700000000001</v>
          </cell>
          <cell r="NK16">
            <v>13</v>
          </cell>
          <cell r="NL16">
            <v>1827.1565999999998</v>
          </cell>
          <cell r="NO16">
            <v>13</v>
          </cell>
          <cell r="NP16">
            <v>1897</v>
          </cell>
          <cell r="NS16">
            <v>2</v>
          </cell>
          <cell r="NT16" t="str">
            <v/>
          </cell>
          <cell r="NW16">
            <v>5</v>
          </cell>
          <cell r="NX16" t="str">
            <v/>
          </cell>
          <cell r="OA16">
            <v>13</v>
          </cell>
          <cell r="OB16">
            <v>82362</v>
          </cell>
          <cell r="OE16">
            <v>13</v>
          </cell>
          <cell r="OF16">
            <v>17502</v>
          </cell>
          <cell r="OI16">
            <v>13</v>
          </cell>
          <cell r="OJ16">
            <v>17502</v>
          </cell>
          <cell r="OM16">
            <v>6</v>
          </cell>
          <cell r="ON16" t="str">
            <v/>
          </cell>
          <cell r="OQ16">
            <v>13</v>
          </cell>
          <cell r="OR16">
            <v>64861</v>
          </cell>
          <cell r="OU16" t="e">
            <v>#N/A</v>
          </cell>
          <cell r="OV16" t="e">
            <v>#N/A</v>
          </cell>
          <cell r="OY16" t="e">
            <v>#N/A</v>
          </cell>
          <cell r="OZ16" t="e">
            <v>#N/A</v>
          </cell>
          <cell r="PC16">
            <v>13</v>
          </cell>
          <cell r="PD16">
            <v>2478.2123999999999</v>
          </cell>
          <cell r="PG16" t="e">
            <v>#N/A</v>
          </cell>
          <cell r="PH16" t="e">
            <v>#N/A</v>
          </cell>
          <cell r="PK16" t="e">
            <v>#N/A</v>
          </cell>
          <cell r="PL16" t="e">
            <v>#N/A</v>
          </cell>
          <cell r="PO16">
            <v>13</v>
          </cell>
          <cell r="PP16">
            <v>76481</v>
          </cell>
          <cell r="PS16">
            <v>11</v>
          </cell>
          <cell r="PT16" t="str">
            <v/>
          </cell>
          <cell r="PW16">
            <v>1</v>
          </cell>
          <cell r="PX16" t="str">
            <v/>
          </cell>
          <cell r="QA16" t="e">
            <v>#N/A</v>
          </cell>
          <cell r="QB16" t="e">
            <v>#N/A</v>
          </cell>
          <cell r="QE16" t="e">
            <v>#N/A</v>
          </cell>
          <cell r="QF16" t="e">
            <v>#N/A</v>
          </cell>
          <cell r="QI16" t="e">
            <v>#N/A</v>
          </cell>
          <cell r="QJ16" t="e">
            <v>#N/A</v>
          </cell>
          <cell r="QR16">
            <v>13</v>
          </cell>
          <cell r="QS16">
            <v>100</v>
          </cell>
          <cell r="QV16">
            <v>13</v>
          </cell>
          <cell r="QW16" t="str">
            <v>Scrap of 33 KV CT</v>
          </cell>
          <cell r="QZ16">
            <v>13</v>
          </cell>
          <cell r="RA16">
            <v>1181</v>
          </cell>
          <cell r="RD16">
            <v>4</v>
          </cell>
          <cell r="RE16" t="str">
            <v/>
          </cell>
          <cell r="RH16">
            <v>3</v>
          </cell>
          <cell r="RI16" t="str">
            <v/>
          </cell>
          <cell r="RL16">
            <v>13</v>
          </cell>
          <cell r="RM16">
            <v>2011</v>
          </cell>
          <cell r="RP16">
            <v>13</v>
          </cell>
          <cell r="RQ16" t="str">
            <v>WATAN SCRAP TRADERS</v>
          </cell>
          <cell r="RT16">
            <v>13</v>
          </cell>
          <cell r="RU16">
            <v>70006</v>
          </cell>
          <cell r="RX16">
            <v>13</v>
          </cell>
          <cell r="RY16">
            <v>12601</v>
          </cell>
          <cell r="SB16">
            <v>13</v>
          </cell>
          <cell r="SC16">
            <v>82607</v>
          </cell>
          <cell r="SF16">
            <v>13</v>
          </cell>
          <cell r="SG16">
            <v>1652</v>
          </cell>
          <cell r="SJ16">
            <v>13</v>
          </cell>
          <cell r="SK16">
            <v>70.006</v>
          </cell>
          <cell r="SN16">
            <v>13</v>
          </cell>
          <cell r="SO16">
            <v>1858.6592999999998</v>
          </cell>
          <cell r="SR16">
            <v>13</v>
          </cell>
          <cell r="SS16">
            <v>31.502700000000001</v>
          </cell>
          <cell r="SV16">
            <v>13</v>
          </cell>
          <cell r="SW16">
            <v>1827.1565999999998</v>
          </cell>
          <cell r="SZ16">
            <v>13</v>
          </cell>
          <cell r="TA16">
            <v>1897</v>
          </cell>
          <cell r="TD16">
            <v>2</v>
          </cell>
          <cell r="TE16" t="str">
            <v/>
          </cell>
          <cell r="TH16">
            <v>5</v>
          </cell>
          <cell r="TI16" t="str">
            <v/>
          </cell>
          <cell r="TL16">
            <v>13</v>
          </cell>
          <cell r="TM16">
            <v>82362</v>
          </cell>
          <cell r="TP16">
            <v>13</v>
          </cell>
          <cell r="TQ16">
            <v>17502</v>
          </cell>
          <cell r="TT16">
            <v>13</v>
          </cell>
          <cell r="TU16">
            <v>17502</v>
          </cell>
          <cell r="TX16">
            <v>6</v>
          </cell>
          <cell r="TY16" t="str">
            <v/>
          </cell>
          <cell r="UB16">
            <v>13</v>
          </cell>
          <cell r="UC16">
            <v>64861</v>
          </cell>
          <cell r="UF16" t="e">
            <v>#N/A</v>
          </cell>
          <cell r="UG16" t="e">
            <v>#N/A</v>
          </cell>
          <cell r="UJ16" t="e">
            <v>#N/A</v>
          </cell>
          <cell r="UK16" t="e">
            <v>#N/A</v>
          </cell>
          <cell r="UN16">
            <v>13</v>
          </cell>
          <cell r="UO16">
            <v>2478.2123999999999</v>
          </cell>
          <cell r="UR16" t="e">
            <v>#N/A</v>
          </cell>
          <cell r="US16" t="e">
            <v>#N/A</v>
          </cell>
          <cell r="UV16" t="e">
            <v>#N/A</v>
          </cell>
          <cell r="UW16" t="e">
            <v>#N/A</v>
          </cell>
          <cell r="UZ16">
            <v>13</v>
          </cell>
          <cell r="VA16">
            <v>76481</v>
          </cell>
          <cell r="VD16">
            <v>11</v>
          </cell>
          <cell r="VE16" t="str">
            <v/>
          </cell>
          <cell r="VH16" t="e">
            <v>#N/A</v>
          </cell>
          <cell r="VI16" t="e">
            <v>#N/A</v>
          </cell>
          <cell r="VL16" t="e">
            <v>#N/A</v>
          </cell>
          <cell r="VM16" t="e">
            <v>#N/A</v>
          </cell>
          <cell r="VP16" t="e">
            <v>#N/A</v>
          </cell>
          <cell r="VQ16" t="e">
            <v>#N/A</v>
          </cell>
          <cell r="VT16" t="e">
            <v>#N/A</v>
          </cell>
          <cell r="VU16" t="e">
            <v>#N/A</v>
          </cell>
        </row>
        <row r="17">
          <cell r="A17" t="str">
            <v>+ 2015</v>
          </cell>
          <cell r="I17">
            <v>14</v>
          </cell>
          <cell r="J17" t="str">
            <v>+ 14</v>
          </cell>
          <cell r="GA17">
            <v>0</v>
          </cell>
          <cell r="GB17" t="str">
            <v/>
          </cell>
          <cell r="GE17">
            <v>0</v>
          </cell>
          <cell r="GF17" t="str">
            <v/>
          </cell>
          <cell r="GI17">
            <v>13</v>
          </cell>
          <cell r="GJ17" t="str">
            <v/>
          </cell>
          <cell r="GM17">
            <v>0</v>
          </cell>
          <cell r="GN17" t="str">
            <v/>
          </cell>
          <cell r="GQ17">
            <v>0</v>
          </cell>
          <cell r="GR17" t="str">
            <v/>
          </cell>
          <cell r="GU17">
            <v>0</v>
          </cell>
          <cell r="GV17" t="str">
            <v/>
          </cell>
          <cell r="GY17">
            <v>0</v>
          </cell>
          <cell r="GZ17" t="str">
            <v/>
          </cell>
          <cell r="HC17">
            <v>0</v>
          </cell>
          <cell r="HD17" t="str">
            <v/>
          </cell>
          <cell r="HG17">
            <v>0</v>
          </cell>
          <cell r="HH17" t="str">
            <v/>
          </cell>
          <cell r="HK17">
            <v>0</v>
          </cell>
          <cell r="HL17" t="str">
            <v/>
          </cell>
          <cell r="HO17">
            <v>0</v>
          </cell>
          <cell r="HP17" t="str">
            <v/>
          </cell>
          <cell r="HS17">
            <v>0</v>
          </cell>
          <cell r="HT17" t="str">
            <v/>
          </cell>
          <cell r="HW17">
            <v>0</v>
          </cell>
          <cell r="HX17" t="str">
            <v/>
          </cell>
          <cell r="IA17">
            <v>0</v>
          </cell>
          <cell r="IB17" t="str">
            <v/>
          </cell>
          <cell r="IE17">
            <v>0</v>
          </cell>
          <cell r="IF17" t="str">
            <v/>
          </cell>
          <cell r="II17">
            <v>0</v>
          </cell>
          <cell r="IJ17" t="str">
            <v/>
          </cell>
          <cell r="IM17">
            <v>0</v>
          </cell>
          <cell r="IN17" t="str">
            <v/>
          </cell>
          <cell r="IQ17">
            <v>0</v>
          </cell>
          <cell r="IR17" t="str">
            <v/>
          </cell>
          <cell r="IU17">
            <v>0</v>
          </cell>
          <cell r="IV17" t="str">
            <v/>
          </cell>
          <cell r="IY17">
            <v>0</v>
          </cell>
          <cell r="IZ17" t="str">
            <v/>
          </cell>
          <cell r="JC17">
            <v>0</v>
          </cell>
          <cell r="JD17" t="str">
            <v/>
          </cell>
          <cell r="JG17">
            <v>0</v>
          </cell>
          <cell r="JH17" t="str">
            <v/>
          </cell>
          <cell r="JK17">
            <v>0</v>
          </cell>
          <cell r="JL17" t="str">
            <v/>
          </cell>
          <cell r="JO17" t="e">
            <v>#N/A</v>
          </cell>
          <cell r="JP17" t="e">
            <v>#N/A</v>
          </cell>
          <cell r="JS17" t="e">
            <v>#N/A</v>
          </cell>
          <cell r="JT17" t="e">
            <v>#N/A</v>
          </cell>
          <cell r="JW17">
            <v>0</v>
          </cell>
          <cell r="JX17" t="str">
            <v/>
          </cell>
          <cell r="KA17" t="e">
            <v>#N/A</v>
          </cell>
          <cell r="KB17" t="e">
            <v>#N/A</v>
          </cell>
          <cell r="KE17" t="e">
            <v>#N/A</v>
          </cell>
          <cell r="KF17" t="e">
            <v>#N/A</v>
          </cell>
          <cell r="KI17">
            <v>0</v>
          </cell>
          <cell r="KJ17" t="str">
            <v/>
          </cell>
          <cell r="KM17">
            <v>0</v>
          </cell>
          <cell r="KN17" t="str">
            <v/>
          </cell>
          <cell r="KQ17">
            <v>0</v>
          </cell>
          <cell r="KR17" t="str">
            <v/>
          </cell>
          <cell r="KU17" t="e">
            <v>#N/A</v>
          </cell>
          <cell r="KV17" t="e">
            <v>#N/A</v>
          </cell>
          <cell r="KY17" t="e">
            <v>#N/A</v>
          </cell>
          <cell r="KZ17" t="e">
            <v>#N/A</v>
          </cell>
          <cell r="LC17" t="e">
            <v>#N/A</v>
          </cell>
          <cell r="LD17" t="e">
            <v>#N/A</v>
          </cell>
          <cell r="LG17">
            <v>14</v>
          </cell>
          <cell r="LH17">
            <v>2015</v>
          </cell>
          <cell r="LK17">
            <v>13</v>
          </cell>
          <cell r="LL17" t="str">
            <v/>
          </cell>
          <cell r="LO17">
            <v>14</v>
          </cell>
          <cell r="LP17" t="str">
            <v>Scrap of 33 KV GCB</v>
          </cell>
          <cell r="LS17">
            <v>4</v>
          </cell>
          <cell r="LT17" t="str">
            <v/>
          </cell>
          <cell r="LW17">
            <v>14</v>
          </cell>
          <cell r="LX17">
            <v>150</v>
          </cell>
          <cell r="MA17">
            <v>3</v>
          </cell>
          <cell r="MB17" t="str">
            <v/>
          </cell>
          <cell r="ME17">
            <v>14</v>
          </cell>
          <cell r="MF17">
            <v>1456</v>
          </cell>
          <cell r="MI17">
            <v>14</v>
          </cell>
          <cell r="MJ17">
            <v>71000</v>
          </cell>
          <cell r="MM17">
            <v>14</v>
          </cell>
          <cell r="MN17">
            <v>12780</v>
          </cell>
          <cell r="MQ17">
            <v>14</v>
          </cell>
          <cell r="MR17">
            <v>83780</v>
          </cell>
          <cell r="MU17">
            <v>14</v>
          </cell>
          <cell r="MV17">
            <v>1676</v>
          </cell>
          <cell r="MY17">
            <v>14</v>
          </cell>
          <cell r="MZ17">
            <v>71</v>
          </cell>
          <cell r="NC17">
            <v>14</v>
          </cell>
          <cell r="ND17">
            <v>1885.05</v>
          </cell>
          <cell r="NG17">
            <v>14</v>
          </cell>
          <cell r="NH17">
            <v>31.95</v>
          </cell>
          <cell r="NK17">
            <v>14</v>
          </cell>
          <cell r="NL17">
            <v>1853.1</v>
          </cell>
          <cell r="NO17">
            <v>14</v>
          </cell>
          <cell r="NP17">
            <v>1924</v>
          </cell>
          <cell r="NS17">
            <v>2</v>
          </cell>
          <cell r="NT17" t="str">
            <v/>
          </cell>
          <cell r="NW17">
            <v>5</v>
          </cell>
          <cell r="NX17" t="str">
            <v/>
          </cell>
          <cell r="OA17">
            <v>14</v>
          </cell>
          <cell r="OB17">
            <v>83532</v>
          </cell>
          <cell r="OE17">
            <v>14</v>
          </cell>
          <cell r="OF17">
            <v>17750</v>
          </cell>
          <cell r="OI17">
            <v>14</v>
          </cell>
          <cell r="OJ17">
            <v>17750</v>
          </cell>
          <cell r="OM17">
            <v>6</v>
          </cell>
          <cell r="ON17" t="str">
            <v/>
          </cell>
          <cell r="OQ17">
            <v>14</v>
          </cell>
          <cell r="OR17">
            <v>65782</v>
          </cell>
          <cell r="OU17" t="e">
            <v>#N/A</v>
          </cell>
          <cell r="OV17" t="e">
            <v>#N/A</v>
          </cell>
          <cell r="OY17" t="e">
            <v>#N/A</v>
          </cell>
          <cell r="OZ17" t="e">
            <v>#N/A</v>
          </cell>
          <cell r="PC17">
            <v>14</v>
          </cell>
          <cell r="PD17">
            <v>2513.3999999999996</v>
          </cell>
          <cell r="PG17" t="e">
            <v>#N/A</v>
          </cell>
          <cell r="PH17" t="e">
            <v>#N/A</v>
          </cell>
          <cell r="PK17" t="e">
            <v>#N/A</v>
          </cell>
          <cell r="PL17" t="e">
            <v>#N/A</v>
          </cell>
          <cell r="PO17">
            <v>14</v>
          </cell>
          <cell r="PP17">
            <v>82361</v>
          </cell>
          <cell r="PS17">
            <v>11</v>
          </cell>
          <cell r="PT17" t="str">
            <v/>
          </cell>
          <cell r="PW17">
            <v>1</v>
          </cell>
          <cell r="PX17" t="str">
            <v/>
          </cell>
          <cell r="QA17" t="e">
            <v>#N/A</v>
          </cell>
          <cell r="QB17" t="e">
            <v>#N/A</v>
          </cell>
          <cell r="QE17" t="e">
            <v>#N/A</v>
          </cell>
          <cell r="QF17" t="e">
            <v>#N/A</v>
          </cell>
          <cell r="QI17" t="e">
            <v>#N/A</v>
          </cell>
          <cell r="QJ17" t="e">
            <v>#N/A</v>
          </cell>
          <cell r="QR17">
            <v>14</v>
          </cell>
          <cell r="QS17">
            <v>150</v>
          </cell>
          <cell r="QV17">
            <v>14</v>
          </cell>
          <cell r="QW17" t="str">
            <v>Scrap of 33 KV GCB</v>
          </cell>
          <cell r="QZ17">
            <v>14</v>
          </cell>
          <cell r="RA17">
            <v>1456</v>
          </cell>
          <cell r="RD17">
            <v>4</v>
          </cell>
          <cell r="RE17" t="str">
            <v/>
          </cell>
          <cell r="RH17">
            <v>3</v>
          </cell>
          <cell r="RI17" t="str">
            <v/>
          </cell>
          <cell r="RL17">
            <v>14</v>
          </cell>
          <cell r="RM17">
            <v>2015</v>
          </cell>
          <cell r="RP17">
            <v>13</v>
          </cell>
          <cell r="RQ17" t="str">
            <v/>
          </cell>
          <cell r="RT17">
            <v>14</v>
          </cell>
          <cell r="RU17">
            <v>71000</v>
          </cell>
          <cell r="RX17">
            <v>14</v>
          </cell>
          <cell r="RY17">
            <v>12780</v>
          </cell>
          <cell r="SB17">
            <v>14</v>
          </cell>
          <cell r="SC17">
            <v>83780</v>
          </cell>
          <cell r="SF17">
            <v>14</v>
          </cell>
          <cell r="SG17">
            <v>1676</v>
          </cell>
          <cell r="SJ17">
            <v>14</v>
          </cell>
          <cell r="SK17">
            <v>71</v>
          </cell>
          <cell r="SN17">
            <v>14</v>
          </cell>
          <cell r="SO17">
            <v>1885.05</v>
          </cell>
          <cell r="SR17">
            <v>14</v>
          </cell>
          <cell r="SS17">
            <v>31.95</v>
          </cell>
          <cell r="SV17">
            <v>14</v>
          </cell>
          <cell r="SW17">
            <v>1853.1</v>
          </cell>
          <cell r="SZ17">
            <v>14</v>
          </cell>
          <cell r="TA17">
            <v>1924</v>
          </cell>
          <cell r="TD17">
            <v>2</v>
          </cell>
          <cell r="TE17" t="str">
            <v/>
          </cell>
          <cell r="TH17">
            <v>5</v>
          </cell>
          <cell r="TI17" t="str">
            <v/>
          </cell>
          <cell r="TL17">
            <v>14</v>
          </cell>
          <cell r="TM17">
            <v>83532</v>
          </cell>
          <cell r="TP17">
            <v>14</v>
          </cell>
          <cell r="TQ17">
            <v>17750</v>
          </cell>
          <cell r="TT17">
            <v>14</v>
          </cell>
          <cell r="TU17">
            <v>17750</v>
          </cell>
          <cell r="TX17">
            <v>6</v>
          </cell>
          <cell r="TY17" t="str">
            <v/>
          </cell>
          <cell r="UB17">
            <v>14</v>
          </cell>
          <cell r="UC17">
            <v>65782</v>
          </cell>
          <cell r="UF17" t="e">
            <v>#N/A</v>
          </cell>
          <cell r="UG17" t="e">
            <v>#N/A</v>
          </cell>
          <cell r="UJ17" t="e">
            <v>#N/A</v>
          </cell>
          <cell r="UK17" t="e">
            <v>#N/A</v>
          </cell>
          <cell r="UN17">
            <v>14</v>
          </cell>
          <cell r="UO17">
            <v>2513.3999999999996</v>
          </cell>
          <cell r="UR17" t="e">
            <v>#N/A</v>
          </cell>
          <cell r="US17" t="e">
            <v>#N/A</v>
          </cell>
          <cell r="UV17" t="e">
            <v>#N/A</v>
          </cell>
          <cell r="UW17" t="e">
            <v>#N/A</v>
          </cell>
          <cell r="UZ17">
            <v>14</v>
          </cell>
          <cell r="VA17">
            <v>82361</v>
          </cell>
          <cell r="VD17">
            <v>11</v>
          </cell>
          <cell r="VE17" t="str">
            <v/>
          </cell>
          <cell r="VH17" t="e">
            <v>#N/A</v>
          </cell>
          <cell r="VI17" t="e">
            <v>#N/A</v>
          </cell>
          <cell r="VL17" t="e">
            <v>#N/A</v>
          </cell>
          <cell r="VM17" t="e">
            <v>#N/A</v>
          </cell>
          <cell r="VP17" t="e">
            <v>#N/A</v>
          </cell>
          <cell r="VQ17" t="e">
            <v>#N/A</v>
          </cell>
          <cell r="VT17" t="e">
            <v>#N/A</v>
          </cell>
          <cell r="VU17" t="e">
            <v>#N/A</v>
          </cell>
        </row>
        <row r="18">
          <cell r="A18" t="str">
            <v>+ 2018</v>
          </cell>
          <cell r="I18">
            <v>15</v>
          </cell>
          <cell r="J18" t="str">
            <v>+ 15</v>
          </cell>
          <cell r="GA18">
            <v>0</v>
          </cell>
          <cell r="GB18" t="str">
            <v/>
          </cell>
          <cell r="GE18">
            <v>0</v>
          </cell>
          <cell r="GF18" t="str">
            <v/>
          </cell>
          <cell r="GI18">
            <v>13</v>
          </cell>
          <cell r="GJ18" t="str">
            <v/>
          </cell>
          <cell r="GM18">
            <v>0</v>
          </cell>
          <cell r="GN18" t="str">
            <v/>
          </cell>
          <cell r="GQ18">
            <v>0</v>
          </cell>
          <cell r="GR18" t="str">
            <v/>
          </cell>
          <cell r="GU18">
            <v>0</v>
          </cell>
          <cell r="GV18" t="str">
            <v/>
          </cell>
          <cell r="GY18">
            <v>0</v>
          </cell>
          <cell r="GZ18" t="str">
            <v/>
          </cell>
          <cell r="HC18">
            <v>0</v>
          </cell>
          <cell r="HD18" t="str">
            <v/>
          </cell>
          <cell r="HG18">
            <v>0</v>
          </cell>
          <cell r="HH18" t="str">
            <v/>
          </cell>
          <cell r="HK18">
            <v>0</v>
          </cell>
          <cell r="HL18" t="str">
            <v/>
          </cell>
          <cell r="HO18">
            <v>0</v>
          </cell>
          <cell r="HP18" t="str">
            <v/>
          </cell>
          <cell r="HS18">
            <v>0</v>
          </cell>
          <cell r="HT18" t="str">
            <v/>
          </cell>
          <cell r="HW18">
            <v>0</v>
          </cell>
          <cell r="HX18" t="str">
            <v/>
          </cell>
          <cell r="IA18">
            <v>0</v>
          </cell>
          <cell r="IB18" t="str">
            <v/>
          </cell>
          <cell r="IE18">
            <v>0</v>
          </cell>
          <cell r="IF18" t="str">
            <v/>
          </cell>
          <cell r="II18">
            <v>0</v>
          </cell>
          <cell r="IJ18" t="str">
            <v/>
          </cell>
          <cell r="IM18">
            <v>0</v>
          </cell>
          <cell r="IN18" t="str">
            <v/>
          </cell>
          <cell r="IQ18">
            <v>0</v>
          </cell>
          <cell r="IR18" t="str">
            <v/>
          </cell>
          <cell r="IU18">
            <v>0</v>
          </cell>
          <cell r="IV18" t="str">
            <v/>
          </cell>
          <cell r="IY18">
            <v>0</v>
          </cell>
          <cell r="IZ18" t="str">
            <v/>
          </cell>
          <cell r="JC18">
            <v>0</v>
          </cell>
          <cell r="JD18" t="str">
            <v/>
          </cell>
          <cell r="JG18">
            <v>0</v>
          </cell>
          <cell r="JH18" t="str">
            <v/>
          </cell>
          <cell r="JK18">
            <v>0</v>
          </cell>
          <cell r="JL18" t="str">
            <v/>
          </cell>
          <cell r="JO18" t="e">
            <v>#N/A</v>
          </cell>
          <cell r="JP18" t="e">
            <v>#N/A</v>
          </cell>
          <cell r="JS18" t="e">
            <v>#N/A</v>
          </cell>
          <cell r="JT18" t="e">
            <v>#N/A</v>
          </cell>
          <cell r="JW18">
            <v>0</v>
          </cell>
          <cell r="JX18" t="str">
            <v/>
          </cell>
          <cell r="KA18" t="e">
            <v>#N/A</v>
          </cell>
          <cell r="KB18" t="e">
            <v>#N/A</v>
          </cell>
          <cell r="KE18" t="e">
            <v>#N/A</v>
          </cell>
          <cell r="KF18" t="e">
            <v>#N/A</v>
          </cell>
          <cell r="KI18">
            <v>0</v>
          </cell>
          <cell r="KJ18" t="str">
            <v/>
          </cell>
          <cell r="KM18">
            <v>0</v>
          </cell>
          <cell r="KN18" t="str">
            <v/>
          </cell>
          <cell r="KQ18">
            <v>0</v>
          </cell>
          <cell r="KR18" t="str">
            <v/>
          </cell>
          <cell r="KU18" t="e">
            <v>#N/A</v>
          </cell>
          <cell r="KV18" t="e">
            <v>#N/A</v>
          </cell>
          <cell r="KY18" t="e">
            <v>#N/A</v>
          </cell>
          <cell r="KZ18" t="e">
            <v>#N/A</v>
          </cell>
          <cell r="LC18" t="e">
            <v>#N/A</v>
          </cell>
          <cell r="LD18" t="e">
            <v>#N/A</v>
          </cell>
          <cell r="LG18">
            <v>15</v>
          </cell>
          <cell r="LH18">
            <v>2018</v>
          </cell>
          <cell r="LK18">
            <v>13</v>
          </cell>
          <cell r="LL18" t="str">
            <v/>
          </cell>
          <cell r="LO18">
            <v>15</v>
          </cell>
          <cell r="LP18" t="str">
            <v>Scrap of 66 KV Isolater</v>
          </cell>
          <cell r="LS18">
            <v>4</v>
          </cell>
          <cell r="LT18" t="str">
            <v/>
          </cell>
          <cell r="LW18">
            <v>15</v>
          </cell>
          <cell r="LX18">
            <v>250</v>
          </cell>
          <cell r="MA18">
            <v>3</v>
          </cell>
          <cell r="MB18" t="str">
            <v/>
          </cell>
          <cell r="ME18">
            <v>15</v>
          </cell>
          <cell r="MF18">
            <v>14001</v>
          </cell>
          <cell r="MI18">
            <v>15</v>
          </cell>
          <cell r="MJ18">
            <v>75003</v>
          </cell>
          <cell r="MM18">
            <v>15</v>
          </cell>
          <cell r="MN18">
            <v>13501</v>
          </cell>
          <cell r="MQ18">
            <v>15</v>
          </cell>
          <cell r="MR18">
            <v>88504</v>
          </cell>
          <cell r="MU18">
            <v>15</v>
          </cell>
          <cell r="MV18">
            <v>1770</v>
          </cell>
          <cell r="MY18">
            <v>15</v>
          </cell>
          <cell r="MZ18">
            <v>75.003</v>
          </cell>
          <cell r="NC18">
            <v>15</v>
          </cell>
          <cell r="ND18">
            <v>1991.3296499999997</v>
          </cell>
          <cell r="NG18">
            <v>15</v>
          </cell>
          <cell r="NH18">
            <v>33.751349999999995</v>
          </cell>
          <cell r="NK18">
            <v>15</v>
          </cell>
          <cell r="NL18">
            <v>1957.5782999999997</v>
          </cell>
          <cell r="NO18">
            <v>15</v>
          </cell>
          <cell r="NP18">
            <v>2033</v>
          </cell>
          <cell r="NS18">
            <v>2</v>
          </cell>
          <cell r="NT18" t="str">
            <v/>
          </cell>
          <cell r="NW18">
            <v>5</v>
          </cell>
          <cell r="NX18" t="str">
            <v/>
          </cell>
          <cell r="OA18">
            <v>15</v>
          </cell>
          <cell r="OB18">
            <v>88241</v>
          </cell>
          <cell r="OE18">
            <v>15</v>
          </cell>
          <cell r="OF18">
            <v>18751</v>
          </cell>
          <cell r="OI18">
            <v>15</v>
          </cell>
          <cell r="OJ18">
            <v>18751</v>
          </cell>
          <cell r="OM18">
            <v>6</v>
          </cell>
          <cell r="ON18" t="str">
            <v/>
          </cell>
          <cell r="OQ18">
            <v>15</v>
          </cell>
          <cell r="OR18">
            <v>69490</v>
          </cell>
          <cell r="OU18" t="e">
            <v>#N/A</v>
          </cell>
          <cell r="OV18" t="e">
            <v>#N/A</v>
          </cell>
          <cell r="OY18" t="e">
            <v>#N/A</v>
          </cell>
          <cell r="OZ18" t="e">
            <v>#N/A</v>
          </cell>
          <cell r="PC18">
            <v>15</v>
          </cell>
          <cell r="PD18">
            <v>2655.1062000000002</v>
          </cell>
          <cell r="PG18" t="e">
            <v>#N/A</v>
          </cell>
          <cell r="PH18" t="e">
            <v>#N/A</v>
          </cell>
          <cell r="PK18" t="e">
            <v>#N/A</v>
          </cell>
          <cell r="PL18" t="e">
            <v>#N/A</v>
          </cell>
          <cell r="PO18">
            <v>15</v>
          </cell>
          <cell r="PP18">
            <v>83532</v>
          </cell>
          <cell r="PS18">
            <v>11</v>
          </cell>
          <cell r="PT18" t="str">
            <v/>
          </cell>
          <cell r="PW18">
            <v>1</v>
          </cell>
          <cell r="PX18" t="str">
            <v/>
          </cell>
          <cell r="QA18" t="e">
            <v>#N/A</v>
          </cell>
          <cell r="QB18" t="e">
            <v>#N/A</v>
          </cell>
          <cell r="QE18" t="e">
            <v>#N/A</v>
          </cell>
          <cell r="QF18" t="e">
            <v>#N/A</v>
          </cell>
          <cell r="QI18" t="e">
            <v>#N/A</v>
          </cell>
          <cell r="QJ18" t="e">
            <v>#N/A</v>
          </cell>
          <cell r="QR18">
            <v>15</v>
          </cell>
          <cell r="QS18">
            <v>250</v>
          </cell>
          <cell r="QV18">
            <v>15</v>
          </cell>
          <cell r="QW18" t="str">
            <v>Scrap of 66 KV Isolater</v>
          </cell>
          <cell r="QZ18">
            <v>15</v>
          </cell>
          <cell r="RA18">
            <v>14001</v>
          </cell>
          <cell r="RD18">
            <v>4</v>
          </cell>
          <cell r="RE18" t="str">
            <v/>
          </cell>
          <cell r="RH18">
            <v>3</v>
          </cell>
          <cell r="RI18" t="str">
            <v/>
          </cell>
          <cell r="RL18">
            <v>15</v>
          </cell>
          <cell r="RM18">
            <v>2018</v>
          </cell>
          <cell r="RP18">
            <v>13</v>
          </cell>
          <cell r="RQ18" t="str">
            <v/>
          </cell>
          <cell r="RT18">
            <v>15</v>
          </cell>
          <cell r="RU18">
            <v>75003</v>
          </cell>
          <cell r="RX18">
            <v>15</v>
          </cell>
          <cell r="RY18">
            <v>13501</v>
          </cell>
          <cell r="SB18">
            <v>15</v>
          </cell>
          <cell r="SC18">
            <v>88504</v>
          </cell>
          <cell r="SF18">
            <v>15</v>
          </cell>
          <cell r="SG18">
            <v>1770</v>
          </cell>
          <cell r="SJ18">
            <v>15</v>
          </cell>
          <cell r="SK18">
            <v>75.003</v>
          </cell>
          <cell r="SN18">
            <v>15</v>
          </cell>
          <cell r="SO18">
            <v>1991.3296499999997</v>
          </cell>
          <cell r="SR18">
            <v>15</v>
          </cell>
          <cell r="SS18">
            <v>33.751349999999995</v>
          </cell>
          <cell r="SV18">
            <v>15</v>
          </cell>
          <cell r="SW18">
            <v>1957.5782999999997</v>
          </cell>
          <cell r="SZ18">
            <v>15</v>
          </cell>
          <cell r="TA18">
            <v>2033</v>
          </cell>
          <cell r="TD18">
            <v>2</v>
          </cell>
          <cell r="TE18" t="str">
            <v/>
          </cell>
          <cell r="TH18">
            <v>5</v>
          </cell>
          <cell r="TI18" t="str">
            <v/>
          </cell>
          <cell r="TL18">
            <v>15</v>
          </cell>
          <cell r="TM18">
            <v>88241</v>
          </cell>
          <cell r="TP18">
            <v>15</v>
          </cell>
          <cell r="TQ18">
            <v>18751</v>
          </cell>
          <cell r="TT18">
            <v>15</v>
          </cell>
          <cell r="TU18">
            <v>18751</v>
          </cell>
          <cell r="TX18">
            <v>6</v>
          </cell>
          <cell r="TY18" t="str">
            <v/>
          </cell>
          <cell r="UB18">
            <v>15</v>
          </cell>
          <cell r="UC18">
            <v>69490</v>
          </cell>
          <cell r="UF18" t="e">
            <v>#N/A</v>
          </cell>
          <cell r="UG18" t="e">
            <v>#N/A</v>
          </cell>
          <cell r="UJ18" t="e">
            <v>#N/A</v>
          </cell>
          <cell r="UK18" t="e">
            <v>#N/A</v>
          </cell>
          <cell r="UN18">
            <v>15</v>
          </cell>
          <cell r="UO18">
            <v>2655.1062000000002</v>
          </cell>
          <cell r="UR18" t="e">
            <v>#N/A</v>
          </cell>
          <cell r="US18" t="e">
            <v>#N/A</v>
          </cell>
          <cell r="UV18" t="e">
            <v>#N/A</v>
          </cell>
          <cell r="UW18" t="e">
            <v>#N/A</v>
          </cell>
          <cell r="UZ18">
            <v>15</v>
          </cell>
          <cell r="VA18">
            <v>83532</v>
          </cell>
          <cell r="VD18">
            <v>11</v>
          </cell>
          <cell r="VE18" t="str">
            <v/>
          </cell>
          <cell r="VH18" t="e">
            <v>#N/A</v>
          </cell>
          <cell r="VI18" t="e">
            <v>#N/A</v>
          </cell>
          <cell r="VL18" t="e">
            <v>#N/A</v>
          </cell>
          <cell r="VM18" t="e">
            <v>#N/A</v>
          </cell>
          <cell r="VP18" t="e">
            <v>#N/A</v>
          </cell>
          <cell r="VQ18" t="e">
            <v>#N/A</v>
          </cell>
          <cell r="VT18" t="e">
            <v>#N/A</v>
          </cell>
          <cell r="VU18" t="e">
            <v>#N/A</v>
          </cell>
        </row>
        <row r="19">
          <cell r="A19" t="str">
            <v>+ 2019</v>
          </cell>
          <cell r="I19">
            <v>16</v>
          </cell>
          <cell r="J19" t="str">
            <v>+ 16</v>
          </cell>
          <cell r="GA19">
            <v>0</v>
          </cell>
          <cell r="GB19" t="str">
            <v/>
          </cell>
          <cell r="GE19">
            <v>0</v>
          </cell>
          <cell r="GF19" t="str">
            <v/>
          </cell>
          <cell r="GI19">
            <v>13</v>
          </cell>
          <cell r="GJ19" t="str">
            <v/>
          </cell>
          <cell r="GM19">
            <v>0</v>
          </cell>
          <cell r="GN19" t="str">
            <v/>
          </cell>
          <cell r="GQ19">
            <v>0</v>
          </cell>
          <cell r="GR19" t="str">
            <v/>
          </cell>
          <cell r="GU19">
            <v>0</v>
          </cell>
          <cell r="GV19" t="str">
            <v/>
          </cell>
          <cell r="GY19">
            <v>0</v>
          </cell>
          <cell r="GZ19" t="str">
            <v/>
          </cell>
          <cell r="HC19">
            <v>0</v>
          </cell>
          <cell r="HD19" t="str">
            <v/>
          </cell>
          <cell r="HG19">
            <v>0</v>
          </cell>
          <cell r="HH19" t="str">
            <v/>
          </cell>
          <cell r="HK19">
            <v>0</v>
          </cell>
          <cell r="HL19" t="str">
            <v/>
          </cell>
          <cell r="HO19">
            <v>0</v>
          </cell>
          <cell r="HP19" t="str">
            <v/>
          </cell>
          <cell r="HS19">
            <v>0</v>
          </cell>
          <cell r="HT19" t="str">
            <v/>
          </cell>
          <cell r="HW19">
            <v>0</v>
          </cell>
          <cell r="HX19" t="str">
            <v/>
          </cell>
          <cell r="IA19">
            <v>0</v>
          </cell>
          <cell r="IB19" t="str">
            <v/>
          </cell>
          <cell r="IE19">
            <v>0</v>
          </cell>
          <cell r="IF19" t="str">
            <v/>
          </cell>
          <cell r="II19">
            <v>0</v>
          </cell>
          <cell r="IJ19" t="str">
            <v/>
          </cell>
          <cell r="IM19">
            <v>0</v>
          </cell>
          <cell r="IN19" t="str">
            <v/>
          </cell>
          <cell r="IQ19">
            <v>0</v>
          </cell>
          <cell r="IR19" t="str">
            <v/>
          </cell>
          <cell r="IU19">
            <v>0</v>
          </cell>
          <cell r="IV19" t="str">
            <v/>
          </cell>
          <cell r="IY19">
            <v>0</v>
          </cell>
          <cell r="IZ19" t="str">
            <v/>
          </cell>
          <cell r="JC19">
            <v>0</v>
          </cell>
          <cell r="JD19" t="str">
            <v/>
          </cell>
          <cell r="JG19">
            <v>0</v>
          </cell>
          <cell r="JH19" t="str">
            <v/>
          </cell>
          <cell r="JK19">
            <v>0</v>
          </cell>
          <cell r="JL19" t="str">
            <v/>
          </cell>
          <cell r="JO19" t="e">
            <v>#N/A</v>
          </cell>
          <cell r="JP19" t="e">
            <v>#N/A</v>
          </cell>
          <cell r="JS19" t="e">
            <v>#N/A</v>
          </cell>
          <cell r="JT19" t="e">
            <v>#N/A</v>
          </cell>
          <cell r="JW19">
            <v>0</v>
          </cell>
          <cell r="JX19" t="str">
            <v/>
          </cell>
          <cell r="KA19" t="e">
            <v>#N/A</v>
          </cell>
          <cell r="KB19" t="e">
            <v>#N/A</v>
          </cell>
          <cell r="KE19" t="e">
            <v>#N/A</v>
          </cell>
          <cell r="KF19" t="e">
            <v>#N/A</v>
          </cell>
          <cell r="KI19">
            <v>0</v>
          </cell>
          <cell r="KJ19" t="str">
            <v/>
          </cell>
          <cell r="KM19">
            <v>0</v>
          </cell>
          <cell r="KN19" t="str">
            <v/>
          </cell>
          <cell r="KQ19">
            <v>0</v>
          </cell>
          <cell r="KR19" t="str">
            <v/>
          </cell>
          <cell r="KU19" t="e">
            <v>#N/A</v>
          </cell>
          <cell r="KV19" t="e">
            <v>#N/A</v>
          </cell>
          <cell r="KY19" t="e">
            <v>#N/A</v>
          </cell>
          <cell r="KZ19" t="e">
            <v>#N/A</v>
          </cell>
          <cell r="LC19" t="e">
            <v>#N/A</v>
          </cell>
          <cell r="LD19" t="e">
            <v>#N/A</v>
          </cell>
          <cell r="LG19">
            <v>16</v>
          </cell>
          <cell r="LH19">
            <v>2019</v>
          </cell>
          <cell r="LK19">
            <v>13</v>
          </cell>
          <cell r="LL19" t="str">
            <v/>
          </cell>
          <cell r="LO19">
            <v>16</v>
          </cell>
          <cell r="LP19" t="str">
            <v>Scrap of 66 kv TBC C &amp; R Panel</v>
          </cell>
          <cell r="LS19">
            <v>4</v>
          </cell>
          <cell r="LT19" t="str">
            <v/>
          </cell>
          <cell r="LW19">
            <v>16</v>
          </cell>
          <cell r="LX19">
            <v>270</v>
          </cell>
          <cell r="MA19">
            <v>3</v>
          </cell>
          <cell r="MB19" t="str">
            <v/>
          </cell>
          <cell r="ME19">
            <v>16</v>
          </cell>
          <cell r="MF19">
            <v>15006</v>
          </cell>
          <cell r="MI19">
            <v>16</v>
          </cell>
          <cell r="MJ19">
            <v>85650</v>
          </cell>
          <cell r="MM19">
            <v>16</v>
          </cell>
          <cell r="MN19">
            <v>15417</v>
          </cell>
          <cell r="MQ19">
            <v>16</v>
          </cell>
          <cell r="MR19">
            <v>101067</v>
          </cell>
          <cell r="MU19">
            <v>16</v>
          </cell>
          <cell r="MV19">
            <v>2021</v>
          </cell>
          <cell r="MY19">
            <v>16</v>
          </cell>
          <cell r="MZ19">
            <v>85.65</v>
          </cell>
          <cell r="NC19">
            <v>16</v>
          </cell>
          <cell r="ND19">
            <v>2274.0074999999997</v>
          </cell>
          <cell r="NG19">
            <v>16</v>
          </cell>
          <cell r="NH19">
            <v>38.542500000000004</v>
          </cell>
          <cell r="NK19">
            <v>16</v>
          </cell>
          <cell r="NL19">
            <v>2235.4649999999997</v>
          </cell>
          <cell r="NO19">
            <v>16</v>
          </cell>
          <cell r="NP19">
            <v>2321</v>
          </cell>
          <cell r="NS19">
            <v>2</v>
          </cell>
          <cell r="NT19" t="str">
            <v/>
          </cell>
          <cell r="NW19">
            <v>5</v>
          </cell>
          <cell r="NX19" t="str">
            <v/>
          </cell>
          <cell r="OA19">
            <v>16</v>
          </cell>
          <cell r="OB19">
            <v>100767</v>
          </cell>
          <cell r="OE19">
            <v>16</v>
          </cell>
          <cell r="OF19">
            <v>21413</v>
          </cell>
          <cell r="OI19">
            <v>16</v>
          </cell>
          <cell r="OJ19">
            <v>21413</v>
          </cell>
          <cell r="OM19">
            <v>6</v>
          </cell>
          <cell r="ON19" t="str">
            <v/>
          </cell>
          <cell r="OQ19">
            <v>16</v>
          </cell>
          <cell r="OR19">
            <v>79355</v>
          </cell>
          <cell r="OU19" t="e">
            <v>#N/A</v>
          </cell>
          <cell r="OV19" t="e">
            <v>#N/A</v>
          </cell>
          <cell r="OY19" t="e">
            <v>#N/A</v>
          </cell>
          <cell r="OZ19" t="e">
            <v>#N/A</v>
          </cell>
          <cell r="PC19">
            <v>16</v>
          </cell>
          <cell r="PD19">
            <v>2832.2123999999999</v>
          </cell>
          <cell r="PG19" t="e">
            <v>#N/A</v>
          </cell>
          <cell r="PH19" t="e">
            <v>#N/A</v>
          </cell>
          <cell r="PK19" t="e">
            <v>#N/A</v>
          </cell>
          <cell r="PL19" t="e">
            <v>#N/A</v>
          </cell>
          <cell r="PO19">
            <v>16</v>
          </cell>
          <cell r="PP19">
            <v>88242</v>
          </cell>
          <cell r="PS19">
            <v>11</v>
          </cell>
          <cell r="PT19" t="str">
            <v/>
          </cell>
          <cell r="PW19">
            <v>1</v>
          </cell>
          <cell r="PX19" t="str">
            <v/>
          </cell>
          <cell r="QA19" t="e">
            <v>#N/A</v>
          </cell>
          <cell r="QB19" t="e">
            <v>#N/A</v>
          </cell>
          <cell r="QE19" t="e">
            <v>#N/A</v>
          </cell>
          <cell r="QF19" t="e">
            <v>#N/A</v>
          </cell>
          <cell r="QI19" t="e">
            <v>#N/A</v>
          </cell>
          <cell r="QJ19" t="e">
            <v>#N/A</v>
          </cell>
          <cell r="QR19">
            <v>16</v>
          </cell>
          <cell r="QS19">
            <v>270</v>
          </cell>
          <cell r="QV19">
            <v>16</v>
          </cell>
          <cell r="QW19" t="str">
            <v>Scrap of 66 kv TBC C &amp; R Panel</v>
          </cell>
          <cell r="QZ19">
            <v>16</v>
          </cell>
          <cell r="RA19">
            <v>15006</v>
          </cell>
          <cell r="RD19">
            <v>4</v>
          </cell>
          <cell r="RE19" t="str">
            <v/>
          </cell>
          <cell r="RH19">
            <v>3</v>
          </cell>
          <cell r="RI19" t="str">
            <v/>
          </cell>
          <cell r="RL19">
            <v>16</v>
          </cell>
          <cell r="RM19">
            <v>2019</v>
          </cell>
          <cell r="RP19">
            <v>13</v>
          </cell>
          <cell r="RQ19" t="str">
            <v/>
          </cell>
          <cell r="RT19">
            <v>16</v>
          </cell>
          <cell r="RU19">
            <v>85650</v>
          </cell>
          <cell r="RX19">
            <v>16</v>
          </cell>
          <cell r="RY19">
            <v>15417</v>
          </cell>
          <cell r="SB19">
            <v>16</v>
          </cell>
          <cell r="SC19">
            <v>101067</v>
          </cell>
          <cell r="SF19">
            <v>16</v>
          </cell>
          <cell r="SG19">
            <v>2021</v>
          </cell>
          <cell r="SJ19">
            <v>16</v>
          </cell>
          <cell r="SK19">
            <v>85.65</v>
          </cell>
          <cell r="SN19">
            <v>16</v>
          </cell>
          <cell r="SO19">
            <v>2274.0074999999997</v>
          </cell>
          <cell r="SR19">
            <v>16</v>
          </cell>
          <cell r="SS19">
            <v>38.542500000000004</v>
          </cell>
          <cell r="SV19">
            <v>16</v>
          </cell>
          <cell r="SW19">
            <v>2235.4649999999997</v>
          </cell>
          <cell r="SZ19">
            <v>16</v>
          </cell>
          <cell r="TA19">
            <v>2321</v>
          </cell>
          <cell r="TD19">
            <v>2</v>
          </cell>
          <cell r="TE19" t="str">
            <v/>
          </cell>
          <cell r="TH19">
            <v>5</v>
          </cell>
          <cell r="TI19" t="str">
            <v/>
          </cell>
          <cell r="TL19">
            <v>16</v>
          </cell>
          <cell r="TM19">
            <v>100767</v>
          </cell>
          <cell r="TP19">
            <v>16</v>
          </cell>
          <cell r="TQ19">
            <v>21413</v>
          </cell>
          <cell r="TT19">
            <v>16</v>
          </cell>
          <cell r="TU19">
            <v>21413</v>
          </cell>
          <cell r="TX19">
            <v>6</v>
          </cell>
          <cell r="TY19" t="str">
            <v/>
          </cell>
          <cell r="UB19">
            <v>16</v>
          </cell>
          <cell r="UC19">
            <v>79355</v>
          </cell>
          <cell r="UF19" t="e">
            <v>#N/A</v>
          </cell>
          <cell r="UG19" t="e">
            <v>#N/A</v>
          </cell>
          <cell r="UJ19" t="e">
            <v>#N/A</v>
          </cell>
          <cell r="UK19" t="e">
            <v>#N/A</v>
          </cell>
          <cell r="UN19">
            <v>16</v>
          </cell>
          <cell r="UO19">
            <v>2832.2123999999999</v>
          </cell>
          <cell r="UR19" t="e">
            <v>#N/A</v>
          </cell>
          <cell r="US19" t="e">
            <v>#N/A</v>
          </cell>
          <cell r="UV19" t="e">
            <v>#N/A</v>
          </cell>
          <cell r="UW19" t="e">
            <v>#N/A</v>
          </cell>
          <cell r="UZ19">
            <v>16</v>
          </cell>
          <cell r="VA19">
            <v>88242</v>
          </cell>
          <cell r="VD19">
            <v>11</v>
          </cell>
          <cell r="VE19" t="str">
            <v/>
          </cell>
          <cell r="VH19" t="e">
            <v>#N/A</v>
          </cell>
          <cell r="VI19" t="e">
            <v>#N/A</v>
          </cell>
          <cell r="VL19" t="e">
            <v>#N/A</v>
          </cell>
          <cell r="VM19" t="e">
            <v>#N/A</v>
          </cell>
          <cell r="VP19" t="e">
            <v>#N/A</v>
          </cell>
          <cell r="VQ19" t="e">
            <v>#N/A</v>
          </cell>
          <cell r="VT19" t="e">
            <v>#N/A</v>
          </cell>
          <cell r="VU19" t="e">
            <v>#N/A</v>
          </cell>
        </row>
        <row r="20">
          <cell r="A20" t="str">
            <v>+ 2020</v>
          </cell>
          <cell r="I20">
            <v>17</v>
          </cell>
          <cell r="J20" t="str">
            <v>+ 17</v>
          </cell>
          <cell r="GA20">
            <v>0</v>
          </cell>
          <cell r="GB20" t="str">
            <v/>
          </cell>
          <cell r="GE20">
            <v>0</v>
          </cell>
          <cell r="GF20" t="str">
            <v/>
          </cell>
          <cell r="GI20">
            <v>13</v>
          </cell>
          <cell r="GJ20" t="str">
            <v/>
          </cell>
          <cell r="GM20">
            <v>0</v>
          </cell>
          <cell r="GN20" t="str">
            <v/>
          </cell>
          <cell r="GQ20">
            <v>0</v>
          </cell>
          <cell r="GR20" t="str">
            <v/>
          </cell>
          <cell r="GU20">
            <v>0</v>
          </cell>
          <cell r="GV20" t="str">
            <v/>
          </cell>
          <cell r="GY20">
            <v>0</v>
          </cell>
          <cell r="GZ20" t="str">
            <v/>
          </cell>
          <cell r="HC20">
            <v>0</v>
          </cell>
          <cell r="HD20" t="str">
            <v/>
          </cell>
          <cell r="HG20">
            <v>0</v>
          </cell>
          <cell r="HH20" t="str">
            <v/>
          </cell>
          <cell r="HK20">
            <v>0</v>
          </cell>
          <cell r="HL20" t="str">
            <v/>
          </cell>
          <cell r="HO20">
            <v>0</v>
          </cell>
          <cell r="HP20" t="str">
            <v/>
          </cell>
          <cell r="HS20">
            <v>0</v>
          </cell>
          <cell r="HT20" t="str">
            <v/>
          </cell>
          <cell r="HW20">
            <v>0</v>
          </cell>
          <cell r="HX20" t="str">
            <v/>
          </cell>
          <cell r="IA20">
            <v>0</v>
          </cell>
          <cell r="IB20" t="str">
            <v/>
          </cell>
          <cell r="IE20">
            <v>0</v>
          </cell>
          <cell r="IF20" t="str">
            <v/>
          </cell>
          <cell r="II20">
            <v>0</v>
          </cell>
          <cell r="IJ20" t="str">
            <v/>
          </cell>
          <cell r="IM20">
            <v>0</v>
          </cell>
          <cell r="IN20" t="str">
            <v/>
          </cell>
          <cell r="IQ20">
            <v>0</v>
          </cell>
          <cell r="IR20" t="str">
            <v/>
          </cell>
          <cell r="IU20">
            <v>0</v>
          </cell>
          <cell r="IV20" t="str">
            <v/>
          </cell>
          <cell r="IY20">
            <v>0</v>
          </cell>
          <cell r="IZ20" t="str">
            <v/>
          </cell>
          <cell r="JC20">
            <v>0</v>
          </cell>
          <cell r="JD20" t="str">
            <v/>
          </cell>
          <cell r="JG20">
            <v>0</v>
          </cell>
          <cell r="JH20" t="str">
            <v/>
          </cell>
          <cell r="JK20">
            <v>0</v>
          </cell>
          <cell r="JL20" t="str">
            <v/>
          </cell>
          <cell r="JO20" t="e">
            <v>#N/A</v>
          </cell>
          <cell r="JP20" t="e">
            <v>#N/A</v>
          </cell>
          <cell r="JS20" t="e">
            <v>#N/A</v>
          </cell>
          <cell r="JT20" t="e">
            <v>#N/A</v>
          </cell>
          <cell r="JW20">
            <v>0</v>
          </cell>
          <cell r="JX20" t="str">
            <v/>
          </cell>
          <cell r="KA20" t="e">
            <v>#N/A</v>
          </cell>
          <cell r="KB20" t="e">
            <v>#N/A</v>
          </cell>
          <cell r="KE20" t="e">
            <v>#N/A</v>
          </cell>
          <cell r="KF20" t="e">
            <v>#N/A</v>
          </cell>
          <cell r="KI20">
            <v>0</v>
          </cell>
          <cell r="KJ20" t="str">
            <v/>
          </cell>
          <cell r="KM20">
            <v>0</v>
          </cell>
          <cell r="KN20" t="str">
            <v/>
          </cell>
          <cell r="KQ20">
            <v>0</v>
          </cell>
          <cell r="KR20" t="str">
            <v/>
          </cell>
          <cell r="KU20" t="e">
            <v>#N/A</v>
          </cell>
          <cell r="KV20" t="e">
            <v>#N/A</v>
          </cell>
          <cell r="KY20" t="e">
            <v>#N/A</v>
          </cell>
          <cell r="KZ20" t="e">
            <v>#N/A</v>
          </cell>
          <cell r="LC20" t="e">
            <v>#N/A</v>
          </cell>
          <cell r="LD20" t="e">
            <v>#N/A</v>
          </cell>
          <cell r="LG20">
            <v>17</v>
          </cell>
          <cell r="LH20">
            <v>2020</v>
          </cell>
          <cell r="LK20">
            <v>13</v>
          </cell>
          <cell r="LL20" t="str">
            <v/>
          </cell>
          <cell r="LO20">
            <v>17</v>
          </cell>
          <cell r="LP20" t="str">
            <v>Scrap of AAAC Earth wire</v>
          </cell>
          <cell r="LS20">
            <v>4</v>
          </cell>
          <cell r="LT20" t="str">
            <v/>
          </cell>
          <cell r="LW20">
            <v>17</v>
          </cell>
          <cell r="LX20">
            <v>669</v>
          </cell>
          <cell r="MA20">
            <v>3</v>
          </cell>
          <cell r="MB20" t="str">
            <v/>
          </cell>
          <cell r="ME20">
            <v>17</v>
          </cell>
          <cell r="MF20">
            <v>25001</v>
          </cell>
          <cell r="MI20">
            <v>17</v>
          </cell>
          <cell r="MJ20">
            <v>120009</v>
          </cell>
          <cell r="MM20">
            <v>17</v>
          </cell>
          <cell r="MN20">
            <v>21602</v>
          </cell>
          <cell r="MQ20">
            <v>17</v>
          </cell>
          <cell r="MR20">
            <v>141611</v>
          </cell>
          <cell r="MU20">
            <v>17</v>
          </cell>
          <cell r="MV20">
            <v>2832</v>
          </cell>
          <cell r="MY20">
            <v>17</v>
          </cell>
          <cell r="MZ20">
            <v>120.009</v>
          </cell>
          <cell r="NC20">
            <v>17</v>
          </cell>
          <cell r="ND20">
            <v>3186.2389499999995</v>
          </cell>
          <cell r="NG20">
            <v>17</v>
          </cell>
          <cell r="NH20">
            <v>54.004049999999999</v>
          </cell>
          <cell r="NK20">
            <v>17</v>
          </cell>
          <cell r="NL20">
            <v>3132.2348999999995</v>
          </cell>
          <cell r="NO20">
            <v>17</v>
          </cell>
          <cell r="NP20">
            <v>3252</v>
          </cell>
          <cell r="NS20">
            <v>2</v>
          </cell>
          <cell r="NT20" t="str">
            <v/>
          </cell>
          <cell r="NW20">
            <v>5</v>
          </cell>
          <cell r="NX20" t="str">
            <v/>
          </cell>
          <cell r="OA20">
            <v>17</v>
          </cell>
          <cell r="OB20">
            <v>141191</v>
          </cell>
          <cell r="OE20">
            <v>17</v>
          </cell>
          <cell r="OF20">
            <v>30002</v>
          </cell>
          <cell r="OI20">
            <v>17</v>
          </cell>
          <cell r="OJ20">
            <v>30002</v>
          </cell>
          <cell r="OM20">
            <v>6</v>
          </cell>
          <cell r="ON20" t="str">
            <v/>
          </cell>
          <cell r="OQ20">
            <v>17</v>
          </cell>
          <cell r="OR20">
            <v>111188</v>
          </cell>
          <cell r="OU20" t="e">
            <v>#N/A</v>
          </cell>
          <cell r="OV20" t="e">
            <v>#N/A</v>
          </cell>
          <cell r="OY20" t="e">
            <v>#N/A</v>
          </cell>
          <cell r="OZ20" t="e">
            <v>#N/A</v>
          </cell>
          <cell r="PC20">
            <v>17</v>
          </cell>
          <cell r="PD20">
            <v>3032.0099999999998</v>
          </cell>
          <cell r="PG20" t="e">
            <v>#N/A</v>
          </cell>
          <cell r="PH20" t="e">
            <v>#N/A</v>
          </cell>
          <cell r="PK20" t="e">
            <v>#N/A</v>
          </cell>
          <cell r="PL20" t="e">
            <v>#N/A</v>
          </cell>
          <cell r="PO20">
            <v>17</v>
          </cell>
          <cell r="PP20">
            <v>100767</v>
          </cell>
          <cell r="PS20">
            <v>11</v>
          </cell>
          <cell r="PT20" t="str">
            <v/>
          </cell>
          <cell r="PW20">
            <v>1</v>
          </cell>
          <cell r="PX20" t="str">
            <v/>
          </cell>
          <cell r="QA20" t="e">
            <v>#N/A</v>
          </cell>
          <cell r="QB20" t="e">
            <v>#N/A</v>
          </cell>
          <cell r="QE20" t="e">
            <v>#N/A</v>
          </cell>
          <cell r="QF20" t="e">
            <v>#N/A</v>
          </cell>
          <cell r="QI20" t="e">
            <v>#N/A</v>
          </cell>
          <cell r="QJ20" t="e">
            <v>#N/A</v>
          </cell>
          <cell r="QR20">
            <v>17</v>
          </cell>
          <cell r="QS20">
            <v>669</v>
          </cell>
          <cell r="QV20">
            <v>17</v>
          </cell>
          <cell r="QW20" t="str">
            <v>Scrap of AAAC Earth wire</v>
          </cell>
          <cell r="QZ20">
            <v>17</v>
          </cell>
          <cell r="RA20">
            <v>25001</v>
          </cell>
          <cell r="RD20">
            <v>4</v>
          </cell>
          <cell r="RE20" t="str">
            <v/>
          </cell>
          <cell r="RH20">
            <v>3</v>
          </cell>
          <cell r="RI20" t="str">
            <v/>
          </cell>
          <cell r="RL20">
            <v>17</v>
          </cell>
          <cell r="RM20">
            <v>2020</v>
          </cell>
          <cell r="RP20">
            <v>13</v>
          </cell>
          <cell r="RQ20" t="str">
            <v/>
          </cell>
          <cell r="RT20">
            <v>17</v>
          </cell>
          <cell r="RU20">
            <v>120009</v>
          </cell>
          <cell r="RX20">
            <v>17</v>
          </cell>
          <cell r="RY20">
            <v>21602</v>
          </cell>
          <cell r="SB20">
            <v>17</v>
          </cell>
          <cell r="SC20">
            <v>141611</v>
          </cell>
          <cell r="SF20">
            <v>17</v>
          </cell>
          <cell r="SG20">
            <v>2832</v>
          </cell>
          <cell r="SJ20">
            <v>17</v>
          </cell>
          <cell r="SK20">
            <v>120.009</v>
          </cell>
          <cell r="SN20">
            <v>17</v>
          </cell>
          <cell r="SO20">
            <v>3186.2389499999995</v>
          </cell>
          <cell r="SR20">
            <v>17</v>
          </cell>
          <cell r="SS20">
            <v>54.004049999999999</v>
          </cell>
          <cell r="SV20">
            <v>17</v>
          </cell>
          <cell r="SW20">
            <v>3132.2348999999995</v>
          </cell>
          <cell r="SZ20">
            <v>17</v>
          </cell>
          <cell r="TA20">
            <v>3252</v>
          </cell>
          <cell r="TD20">
            <v>2</v>
          </cell>
          <cell r="TE20" t="str">
            <v/>
          </cell>
          <cell r="TH20">
            <v>5</v>
          </cell>
          <cell r="TI20" t="str">
            <v/>
          </cell>
          <cell r="TL20">
            <v>17</v>
          </cell>
          <cell r="TM20">
            <v>141191</v>
          </cell>
          <cell r="TP20">
            <v>17</v>
          </cell>
          <cell r="TQ20">
            <v>30002</v>
          </cell>
          <cell r="TT20">
            <v>17</v>
          </cell>
          <cell r="TU20">
            <v>30002</v>
          </cell>
          <cell r="TX20">
            <v>6</v>
          </cell>
          <cell r="TY20" t="str">
            <v/>
          </cell>
          <cell r="UB20">
            <v>17</v>
          </cell>
          <cell r="UC20">
            <v>111188</v>
          </cell>
          <cell r="UF20" t="e">
            <v>#N/A</v>
          </cell>
          <cell r="UG20" t="e">
            <v>#N/A</v>
          </cell>
          <cell r="UJ20" t="e">
            <v>#N/A</v>
          </cell>
          <cell r="UK20" t="e">
            <v>#N/A</v>
          </cell>
          <cell r="UN20">
            <v>17</v>
          </cell>
          <cell r="UO20">
            <v>3032.0099999999998</v>
          </cell>
          <cell r="UR20" t="e">
            <v>#N/A</v>
          </cell>
          <cell r="US20" t="e">
            <v>#N/A</v>
          </cell>
          <cell r="UV20" t="e">
            <v>#N/A</v>
          </cell>
          <cell r="UW20" t="e">
            <v>#N/A</v>
          </cell>
          <cell r="UZ20">
            <v>17</v>
          </cell>
          <cell r="VA20">
            <v>100767</v>
          </cell>
          <cell r="VD20">
            <v>11</v>
          </cell>
          <cell r="VE20" t="str">
            <v/>
          </cell>
          <cell r="VH20" t="e">
            <v>#N/A</v>
          </cell>
          <cell r="VI20" t="e">
            <v>#N/A</v>
          </cell>
          <cell r="VL20" t="e">
            <v>#N/A</v>
          </cell>
          <cell r="VM20" t="e">
            <v>#N/A</v>
          </cell>
          <cell r="VP20" t="e">
            <v>#N/A</v>
          </cell>
          <cell r="VQ20" t="e">
            <v>#N/A</v>
          </cell>
          <cell r="VT20" t="e">
            <v>#N/A</v>
          </cell>
          <cell r="VU20" t="e">
            <v>#N/A</v>
          </cell>
        </row>
        <row r="21">
          <cell r="A21" t="str">
            <v>+ 2022</v>
          </cell>
          <cell r="I21">
            <v>18</v>
          </cell>
          <cell r="J21" t="str">
            <v>+ 18</v>
          </cell>
          <cell r="GA21">
            <v>0</v>
          </cell>
          <cell r="GB21" t="str">
            <v/>
          </cell>
          <cell r="GE21">
            <v>0</v>
          </cell>
          <cell r="GF21" t="str">
            <v/>
          </cell>
          <cell r="GI21">
            <v>13</v>
          </cell>
          <cell r="GJ21" t="str">
            <v/>
          </cell>
          <cell r="GM21">
            <v>0</v>
          </cell>
          <cell r="GN21" t="str">
            <v/>
          </cell>
          <cell r="GQ21">
            <v>0</v>
          </cell>
          <cell r="GR21" t="str">
            <v/>
          </cell>
          <cell r="GU21">
            <v>0</v>
          </cell>
          <cell r="GV21" t="str">
            <v/>
          </cell>
          <cell r="GY21">
            <v>0</v>
          </cell>
          <cell r="GZ21" t="str">
            <v/>
          </cell>
          <cell r="HC21">
            <v>0</v>
          </cell>
          <cell r="HD21" t="str">
            <v/>
          </cell>
          <cell r="HG21">
            <v>0</v>
          </cell>
          <cell r="HH21" t="str">
            <v/>
          </cell>
          <cell r="HK21">
            <v>0</v>
          </cell>
          <cell r="HL21" t="str">
            <v/>
          </cell>
          <cell r="HO21">
            <v>0</v>
          </cell>
          <cell r="HP21" t="str">
            <v/>
          </cell>
          <cell r="HS21">
            <v>0</v>
          </cell>
          <cell r="HT21" t="str">
            <v/>
          </cell>
          <cell r="HW21">
            <v>0</v>
          </cell>
          <cell r="HX21" t="str">
            <v/>
          </cell>
          <cell r="IA21">
            <v>0</v>
          </cell>
          <cell r="IB21" t="str">
            <v/>
          </cell>
          <cell r="IE21">
            <v>0</v>
          </cell>
          <cell r="IF21" t="str">
            <v/>
          </cell>
          <cell r="II21">
            <v>0</v>
          </cell>
          <cell r="IJ21" t="str">
            <v/>
          </cell>
          <cell r="IM21">
            <v>0</v>
          </cell>
          <cell r="IN21" t="str">
            <v/>
          </cell>
          <cell r="IQ21">
            <v>0</v>
          </cell>
          <cell r="IR21" t="str">
            <v/>
          </cell>
          <cell r="IU21">
            <v>0</v>
          </cell>
          <cell r="IV21" t="str">
            <v/>
          </cell>
          <cell r="IY21">
            <v>0</v>
          </cell>
          <cell r="IZ21" t="str">
            <v/>
          </cell>
          <cell r="JC21">
            <v>0</v>
          </cell>
          <cell r="JD21" t="str">
            <v/>
          </cell>
          <cell r="JG21">
            <v>0</v>
          </cell>
          <cell r="JH21" t="str">
            <v/>
          </cell>
          <cell r="JK21">
            <v>0</v>
          </cell>
          <cell r="JL21" t="str">
            <v/>
          </cell>
          <cell r="JO21" t="e">
            <v>#N/A</v>
          </cell>
          <cell r="JP21" t="e">
            <v>#N/A</v>
          </cell>
          <cell r="JS21" t="e">
            <v>#N/A</v>
          </cell>
          <cell r="JT21" t="e">
            <v>#N/A</v>
          </cell>
          <cell r="JW21">
            <v>0</v>
          </cell>
          <cell r="JX21" t="str">
            <v/>
          </cell>
          <cell r="KA21" t="e">
            <v>#N/A</v>
          </cell>
          <cell r="KB21" t="e">
            <v>#N/A</v>
          </cell>
          <cell r="KE21" t="e">
            <v>#N/A</v>
          </cell>
          <cell r="KF21" t="e">
            <v>#N/A</v>
          </cell>
          <cell r="KI21">
            <v>0</v>
          </cell>
          <cell r="KJ21" t="str">
            <v/>
          </cell>
          <cell r="KM21">
            <v>0</v>
          </cell>
          <cell r="KN21" t="str">
            <v/>
          </cell>
          <cell r="KQ21">
            <v>0</v>
          </cell>
          <cell r="KR21" t="str">
            <v/>
          </cell>
          <cell r="KU21" t="e">
            <v>#N/A</v>
          </cell>
          <cell r="KV21" t="e">
            <v>#N/A</v>
          </cell>
          <cell r="KY21" t="e">
            <v>#N/A</v>
          </cell>
          <cell r="KZ21" t="e">
            <v>#N/A</v>
          </cell>
          <cell r="LC21" t="e">
            <v>#N/A</v>
          </cell>
          <cell r="LD21" t="e">
            <v>#N/A</v>
          </cell>
          <cell r="LG21">
            <v>18</v>
          </cell>
          <cell r="LH21">
            <v>2022</v>
          </cell>
          <cell r="LK21">
            <v>13</v>
          </cell>
          <cell r="LL21" t="str">
            <v/>
          </cell>
          <cell r="LO21">
            <v>18</v>
          </cell>
          <cell r="LP21" t="str">
            <v>Scrap of Copper of faulty AC compressor</v>
          </cell>
          <cell r="LS21">
            <v>4</v>
          </cell>
          <cell r="LT21" t="str">
            <v/>
          </cell>
          <cell r="LW21">
            <v>18</v>
          </cell>
          <cell r="LX21">
            <v>670</v>
          </cell>
          <cell r="MA21">
            <v>3</v>
          </cell>
          <cell r="MB21" t="str">
            <v/>
          </cell>
          <cell r="ME21">
            <v>18</v>
          </cell>
          <cell r="MF21">
            <v>29502</v>
          </cell>
          <cell r="MI21">
            <v>18</v>
          </cell>
          <cell r="MJ21">
            <v>135750</v>
          </cell>
          <cell r="MM21">
            <v>18</v>
          </cell>
          <cell r="MN21">
            <v>24435</v>
          </cell>
          <cell r="MQ21">
            <v>18</v>
          </cell>
          <cell r="MR21">
            <v>160185</v>
          </cell>
          <cell r="MU21">
            <v>18</v>
          </cell>
          <cell r="MV21">
            <v>3204</v>
          </cell>
          <cell r="MY21">
            <v>18</v>
          </cell>
          <cell r="MZ21">
            <v>135.75</v>
          </cell>
          <cell r="NC21">
            <v>18</v>
          </cell>
          <cell r="ND21">
            <v>3604.1624999999999</v>
          </cell>
          <cell r="NG21">
            <v>18</v>
          </cell>
          <cell r="NH21">
            <v>61.087499999999999</v>
          </cell>
          <cell r="NK21">
            <v>18</v>
          </cell>
          <cell r="NL21">
            <v>3543.0749999999998</v>
          </cell>
          <cell r="NO21">
            <v>18</v>
          </cell>
          <cell r="NP21">
            <v>3679</v>
          </cell>
          <cell r="NS21">
            <v>2</v>
          </cell>
          <cell r="NT21" t="str">
            <v/>
          </cell>
          <cell r="NW21">
            <v>5</v>
          </cell>
          <cell r="NX21" t="str">
            <v/>
          </cell>
          <cell r="OA21">
            <v>18</v>
          </cell>
          <cell r="OB21">
            <v>159710</v>
          </cell>
          <cell r="OE21">
            <v>18</v>
          </cell>
          <cell r="OF21">
            <v>33938</v>
          </cell>
          <cell r="OI21">
            <v>18</v>
          </cell>
          <cell r="OJ21">
            <v>33938</v>
          </cell>
          <cell r="OM21">
            <v>6</v>
          </cell>
          <cell r="ON21" t="str">
            <v/>
          </cell>
          <cell r="OQ21">
            <v>18</v>
          </cell>
          <cell r="OR21">
            <v>125772</v>
          </cell>
          <cell r="OU21" t="e">
            <v>#N/A</v>
          </cell>
          <cell r="OV21" t="e">
            <v>#N/A</v>
          </cell>
          <cell r="OY21" t="e">
            <v>#N/A</v>
          </cell>
          <cell r="OZ21" t="e">
            <v>#N/A</v>
          </cell>
          <cell r="PC21">
            <v>18</v>
          </cell>
          <cell r="PD21">
            <v>4805.5499999999993</v>
          </cell>
          <cell r="PG21" t="e">
            <v>#N/A</v>
          </cell>
          <cell r="PH21" t="e">
            <v>#N/A</v>
          </cell>
          <cell r="PK21" t="e">
            <v>#N/A</v>
          </cell>
          <cell r="PL21" t="e">
            <v>#N/A</v>
          </cell>
          <cell r="PO21">
            <v>18</v>
          </cell>
          <cell r="PP21">
            <v>137350</v>
          </cell>
          <cell r="PS21">
            <v>11</v>
          </cell>
          <cell r="PT21" t="str">
            <v/>
          </cell>
          <cell r="PW21">
            <v>1</v>
          </cell>
          <cell r="PX21" t="str">
            <v/>
          </cell>
          <cell r="QA21" t="e">
            <v>#N/A</v>
          </cell>
          <cell r="QB21" t="e">
            <v>#N/A</v>
          </cell>
          <cell r="QE21" t="e">
            <v>#N/A</v>
          </cell>
          <cell r="QF21" t="e">
            <v>#N/A</v>
          </cell>
          <cell r="QI21" t="e">
            <v>#N/A</v>
          </cell>
          <cell r="QJ21" t="e">
            <v>#N/A</v>
          </cell>
          <cell r="QR21">
            <v>18</v>
          </cell>
          <cell r="QS21">
            <v>670</v>
          </cell>
          <cell r="QV21">
            <v>18</v>
          </cell>
          <cell r="QW21" t="str">
            <v>Scrap of Copper of faulty AC compressor</v>
          </cell>
          <cell r="QZ21">
            <v>18</v>
          </cell>
          <cell r="RA21">
            <v>29502</v>
          </cell>
          <cell r="RD21">
            <v>4</v>
          </cell>
          <cell r="RE21" t="str">
            <v/>
          </cell>
          <cell r="RH21">
            <v>3</v>
          </cell>
          <cell r="RI21" t="str">
            <v/>
          </cell>
          <cell r="RL21">
            <v>18</v>
          </cell>
          <cell r="RM21">
            <v>2022</v>
          </cell>
          <cell r="RP21">
            <v>13</v>
          </cell>
          <cell r="RQ21" t="str">
            <v/>
          </cell>
          <cell r="RT21">
            <v>18</v>
          </cell>
          <cell r="RU21">
            <v>135750</v>
          </cell>
          <cell r="RX21">
            <v>18</v>
          </cell>
          <cell r="RY21">
            <v>24435</v>
          </cell>
          <cell r="SB21">
            <v>18</v>
          </cell>
          <cell r="SC21">
            <v>160185</v>
          </cell>
          <cell r="SF21">
            <v>18</v>
          </cell>
          <cell r="SG21">
            <v>3204</v>
          </cell>
          <cell r="SJ21">
            <v>18</v>
          </cell>
          <cell r="SK21">
            <v>135.75</v>
          </cell>
          <cell r="SN21">
            <v>18</v>
          </cell>
          <cell r="SO21">
            <v>3604.1624999999999</v>
          </cell>
          <cell r="SR21">
            <v>18</v>
          </cell>
          <cell r="SS21">
            <v>61.087499999999999</v>
          </cell>
          <cell r="SV21">
            <v>18</v>
          </cell>
          <cell r="SW21">
            <v>3543.0749999999998</v>
          </cell>
          <cell r="SZ21">
            <v>18</v>
          </cell>
          <cell r="TA21">
            <v>3679</v>
          </cell>
          <cell r="TD21">
            <v>2</v>
          </cell>
          <cell r="TE21" t="str">
            <v/>
          </cell>
          <cell r="TH21">
            <v>5</v>
          </cell>
          <cell r="TI21" t="str">
            <v/>
          </cell>
          <cell r="TL21">
            <v>18</v>
          </cell>
          <cell r="TM21">
            <v>159710</v>
          </cell>
          <cell r="TP21">
            <v>18</v>
          </cell>
          <cell r="TQ21">
            <v>33938</v>
          </cell>
          <cell r="TT21">
            <v>18</v>
          </cell>
          <cell r="TU21">
            <v>33938</v>
          </cell>
          <cell r="TX21">
            <v>6</v>
          </cell>
          <cell r="TY21" t="str">
            <v/>
          </cell>
          <cell r="UB21">
            <v>18</v>
          </cell>
          <cell r="UC21">
            <v>125772</v>
          </cell>
          <cell r="UF21" t="e">
            <v>#N/A</v>
          </cell>
          <cell r="UG21" t="e">
            <v>#N/A</v>
          </cell>
          <cell r="UJ21" t="e">
            <v>#N/A</v>
          </cell>
          <cell r="UK21" t="e">
            <v>#N/A</v>
          </cell>
          <cell r="UN21">
            <v>18</v>
          </cell>
          <cell r="UO21">
            <v>4805.5499999999993</v>
          </cell>
          <cell r="UR21" t="e">
            <v>#N/A</v>
          </cell>
          <cell r="US21" t="e">
            <v>#N/A</v>
          </cell>
          <cell r="UV21" t="e">
            <v>#N/A</v>
          </cell>
          <cell r="UW21" t="e">
            <v>#N/A</v>
          </cell>
          <cell r="UZ21">
            <v>18</v>
          </cell>
          <cell r="VA21">
            <v>137350</v>
          </cell>
          <cell r="VD21">
            <v>11</v>
          </cell>
          <cell r="VE21" t="str">
            <v/>
          </cell>
          <cell r="VH21" t="e">
            <v>#N/A</v>
          </cell>
          <cell r="VI21" t="e">
            <v>#N/A</v>
          </cell>
          <cell r="VL21" t="e">
            <v>#N/A</v>
          </cell>
          <cell r="VM21" t="e">
            <v>#N/A</v>
          </cell>
          <cell r="VP21" t="e">
            <v>#N/A</v>
          </cell>
          <cell r="VQ21" t="e">
            <v>#N/A</v>
          </cell>
          <cell r="VT21" t="e">
            <v>#N/A</v>
          </cell>
          <cell r="VU21" t="e">
            <v>#N/A</v>
          </cell>
        </row>
        <row r="22">
          <cell r="A22" t="str">
            <v>+ 2023</v>
          </cell>
          <cell r="I22">
            <v>19</v>
          </cell>
          <cell r="J22" t="str">
            <v>+ 19</v>
          </cell>
          <cell r="GA22">
            <v>0</v>
          </cell>
          <cell r="GB22" t="str">
            <v/>
          </cell>
          <cell r="GE22">
            <v>0</v>
          </cell>
          <cell r="GF22" t="str">
            <v/>
          </cell>
          <cell r="GI22">
            <v>13</v>
          </cell>
          <cell r="GJ22" t="str">
            <v/>
          </cell>
          <cell r="GM22">
            <v>0</v>
          </cell>
          <cell r="GN22" t="str">
            <v/>
          </cell>
          <cell r="GQ22">
            <v>0</v>
          </cell>
          <cell r="GR22" t="str">
            <v/>
          </cell>
          <cell r="GU22">
            <v>0</v>
          </cell>
          <cell r="GV22" t="str">
            <v/>
          </cell>
          <cell r="GY22">
            <v>0</v>
          </cell>
          <cell r="GZ22" t="str">
            <v/>
          </cell>
          <cell r="HC22">
            <v>0</v>
          </cell>
          <cell r="HD22" t="str">
            <v/>
          </cell>
          <cell r="HG22">
            <v>0</v>
          </cell>
          <cell r="HH22" t="str">
            <v/>
          </cell>
          <cell r="HK22">
            <v>0</v>
          </cell>
          <cell r="HL22" t="str">
            <v/>
          </cell>
          <cell r="HO22">
            <v>0</v>
          </cell>
          <cell r="HP22" t="str">
            <v/>
          </cell>
          <cell r="HS22">
            <v>0</v>
          </cell>
          <cell r="HT22" t="str">
            <v/>
          </cell>
          <cell r="HW22">
            <v>0</v>
          </cell>
          <cell r="HX22" t="str">
            <v/>
          </cell>
          <cell r="IA22">
            <v>0</v>
          </cell>
          <cell r="IB22" t="str">
            <v/>
          </cell>
          <cell r="IE22">
            <v>0</v>
          </cell>
          <cell r="IF22" t="str">
            <v/>
          </cell>
          <cell r="II22">
            <v>0</v>
          </cell>
          <cell r="IJ22" t="str">
            <v/>
          </cell>
          <cell r="IM22">
            <v>0</v>
          </cell>
          <cell r="IN22" t="str">
            <v/>
          </cell>
          <cell r="IQ22">
            <v>0</v>
          </cell>
          <cell r="IR22" t="str">
            <v/>
          </cell>
          <cell r="IU22">
            <v>0</v>
          </cell>
          <cell r="IV22" t="str">
            <v/>
          </cell>
          <cell r="IY22">
            <v>0</v>
          </cell>
          <cell r="IZ22" t="str">
            <v/>
          </cell>
          <cell r="JC22">
            <v>0</v>
          </cell>
          <cell r="JD22" t="str">
            <v/>
          </cell>
          <cell r="JG22">
            <v>0</v>
          </cell>
          <cell r="JH22" t="str">
            <v/>
          </cell>
          <cell r="JK22">
            <v>0</v>
          </cell>
          <cell r="JL22" t="str">
            <v/>
          </cell>
          <cell r="JO22" t="e">
            <v>#N/A</v>
          </cell>
          <cell r="JP22" t="e">
            <v>#N/A</v>
          </cell>
          <cell r="JS22" t="e">
            <v>#N/A</v>
          </cell>
          <cell r="JT22" t="e">
            <v>#N/A</v>
          </cell>
          <cell r="JW22">
            <v>0</v>
          </cell>
          <cell r="JX22" t="str">
            <v/>
          </cell>
          <cell r="KA22" t="e">
            <v>#N/A</v>
          </cell>
          <cell r="KB22" t="e">
            <v>#N/A</v>
          </cell>
          <cell r="KE22" t="e">
            <v>#N/A</v>
          </cell>
          <cell r="KF22" t="e">
            <v>#N/A</v>
          </cell>
          <cell r="KI22">
            <v>0</v>
          </cell>
          <cell r="KJ22" t="str">
            <v/>
          </cell>
          <cell r="KM22">
            <v>0</v>
          </cell>
          <cell r="KN22" t="str">
            <v/>
          </cell>
          <cell r="KQ22">
            <v>0</v>
          </cell>
          <cell r="KR22" t="str">
            <v/>
          </cell>
          <cell r="KU22" t="e">
            <v>#N/A</v>
          </cell>
          <cell r="KV22" t="e">
            <v>#N/A</v>
          </cell>
          <cell r="KY22" t="e">
            <v>#N/A</v>
          </cell>
          <cell r="KZ22" t="e">
            <v>#N/A</v>
          </cell>
          <cell r="LC22" t="e">
            <v>#N/A</v>
          </cell>
          <cell r="LD22" t="e">
            <v>#N/A</v>
          </cell>
          <cell r="LG22">
            <v>19</v>
          </cell>
          <cell r="LH22">
            <v>2023</v>
          </cell>
          <cell r="LK22">
            <v>13</v>
          </cell>
          <cell r="LL22" t="str">
            <v/>
          </cell>
          <cell r="LO22">
            <v>19</v>
          </cell>
          <cell r="LP22" t="str">
            <v>Scrap of empty oil Barrel</v>
          </cell>
          <cell r="LS22">
            <v>4</v>
          </cell>
          <cell r="LT22" t="str">
            <v/>
          </cell>
          <cell r="LW22">
            <v>19</v>
          </cell>
          <cell r="LX22">
            <v>1000</v>
          </cell>
          <cell r="MA22">
            <v>3</v>
          </cell>
          <cell r="MB22" t="str">
            <v/>
          </cell>
          <cell r="ME22">
            <v>19</v>
          </cell>
          <cell r="MF22">
            <v>40003</v>
          </cell>
          <cell r="MI22">
            <v>19</v>
          </cell>
          <cell r="MJ22">
            <v>156600</v>
          </cell>
          <cell r="MM22">
            <v>19</v>
          </cell>
          <cell r="MN22">
            <v>28188</v>
          </cell>
          <cell r="MQ22">
            <v>19</v>
          </cell>
          <cell r="MR22">
            <v>184788</v>
          </cell>
          <cell r="MU22">
            <v>19</v>
          </cell>
          <cell r="MV22">
            <v>3696</v>
          </cell>
          <cell r="MY22">
            <v>19</v>
          </cell>
          <cell r="MZ22">
            <v>156.6</v>
          </cell>
          <cell r="NC22">
            <v>19</v>
          </cell>
          <cell r="ND22">
            <v>4157.7299999999996</v>
          </cell>
          <cell r="NG22">
            <v>19</v>
          </cell>
          <cell r="NH22">
            <v>70.47</v>
          </cell>
          <cell r="NK22">
            <v>19</v>
          </cell>
          <cell r="NL22">
            <v>4087.2599999999998</v>
          </cell>
          <cell r="NO22">
            <v>19</v>
          </cell>
          <cell r="NP22">
            <v>4244</v>
          </cell>
          <cell r="NS22">
            <v>2</v>
          </cell>
          <cell r="NT22" t="str">
            <v/>
          </cell>
          <cell r="NW22">
            <v>5</v>
          </cell>
          <cell r="NX22" t="str">
            <v/>
          </cell>
          <cell r="OA22">
            <v>19</v>
          </cell>
          <cell r="OB22">
            <v>184240</v>
          </cell>
          <cell r="OE22">
            <v>19</v>
          </cell>
          <cell r="OF22">
            <v>39150</v>
          </cell>
          <cell r="OI22">
            <v>19</v>
          </cell>
          <cell r="OJ22">
            <v>39150</v>
          </cell>
          <cell r="OM22">
            <v>6</v>
          </cell>
          <cell r="ON22" t="str">
            <v/>
          </cell>
          <cell r="OQ22">
            <v>19</v>
          </cell>
          <cell r="OR22">
            <v>145090</v>
          </cell>
          <cell r="OU22" t="e">
            <v>#N/A</v>
          </cell>
          <cell r="OV22" t="e">
            <v>#N/A</v>
          </cell>
          <cell r="OY22" t="e">
            <v>#N/A</v>
          </cell>
          <cell r="OZ22" t="e">
            <v>#N/A</v>
          </cell>
          <cell r="PC22">
            <v>19</v>
          </cell>
          <cell r="PD22">
            <v>5543.6399999999994</v>
          </cell>
          <cell r="PG22" t="e">
            <v>#N/A</v>
          </cell>
          <cell r="PH22" t="e">
            <v>#N/A</v>
          </cell>
          <cell r="PK22" t="e">
            <v>#N/A</v>
          </cell>
          <cell r="PL22" t="e">
            <v>#N/A</v>
          </cell>
          <cell r="PO22">
            <v>19</v>
          </cell>
          <cell r="PP22">
            <v>144023</v>
          </cell>
          <cell r="PS22">
            <v>11</v>
          </cell>
          <cell r="PT22" t="str">
            <v/>
          </cell>
          <cell r="PW22">
            <v>1</v>
          </cell>
          <cell r="PX22" t="str">
            <v/>
          </cell>
          <cell r="QA22" t="e">
            <v>#N/A</v>
          </cell>
          <cell r="QB22" t="e">
            <v>#N/A</v>
          </cell>
          <cell r="QE22" t="e">
            <v>#N/A</v>
          </cell>
          <cell r="QF22" t="e">
            <v>#N/A</v>
          </cell>
          <cell r="QI22" t="e">
            <v>#N/A</v>
          </cell>
          <cell r="QJ22" t="e">
            <v>#N/A</v>
          </cell>
          <cell r="QR22">
            <v>19</v>
          </cell>
          <cell r="QS22">
            <v>1000</v>
          </cell>
          <cell r="QV22">
            <v>19</v>
          </cell>
          <cell r="QW22" t="str">
            <v>Scrap of empty oil Barrel</v>
          </cell>
          <cell r="QZ22">
            <v>19</v>
          </cell>
          <cell r="RA22">
            <v>40003</v>
          </cell>
          <cell r="RD22">
            <v>4</v>
          </cell>
          <cell r="RE22" t="str">
            <v/>
          </cell>
          <cell r="RH22">
            <v>3</v>
          </cell>
          <cell r="RI22" t="str">
            <v/>
          </cell>
          <cell r="RL22">
            <v>19</v>
          </cell>
          <cell r="RM22">
            <v>2023</v>
          </cell>
          <cell r="RP22">
            <v>13</v>
          </cell>
          <cell r="RQ22" t="str">
            <v/>
          </cell>
          <cell r="RT22">
            <v>19</v>
          </cell>
          <cell r="RU22">
            <v>156600</v>
          </cell>
          <cell r="RX22">
            <v>19</v>
          </cell>
          <cell r="RY22">
            <v>28188</v>
          </cell>
          <cell r="SB22">
            <v>19</v>
          </cell>
          <cell r="SC22">
            <v>184788</v>
          </cell>
          <cell r="SF22">
            <v>19</v>
          </cell>
          <cell r="SG22">
            <v>3696</v>
          </cell>
          <cell r="SJ22">
            <v>19</v>
          </cell>
          <cell r="SK22">
            <v>156.6</v>
          </cell>
          <cell r="SN22">
            <v>19</v>
          </cell>
          <cell r="SO22">
            <v>4157.7299999999996</v>
          </cell>
          <cell r="SR22">
            <v>19</v>
          </cell>
          <cell r="SS22">
            <v>70.47</v>
          </cell>
          <cell r="SV22">
            <v>19</v>
          </cell>
          <cell r="SW22">
            <v>4087.2599999999998</v>
          </cell>
          <cell r="SZ22">
            <v>19</v>
          </cell>
          <cell r="TA22">
            <v>4244</v>
          </cell>
          <cell r="TD22">
            <v>2</v>
          </cell>
          <cell r="TE22" t="str">
            <v/>
          </cell>
          <cell r="TH22">
            <v>5</v>
          </cell>
          <cell r="TI22" t="str">
            <v/>
          </cell>
          <cell r="TL22">
            <v>19</v>
          </cell>
          <cell r="TM22">
            <v>184240</v>
          </cell>
          <cell r="TP22">
            <v>19</v>
          </cell>
          <cell r="TQ22">
            <v>39150</v>
          </cell>
          <cell r="TT22">
            <v>19</v>
          </cell>
          <cell r="TU22">
            <v>39150</v>
          </cell>
          <cell r="TX22">
            <v>6</v>
          </cell>
          <cell r="TY22" t="str">
            <v/>
          </cell>
          <cell r="UB22">
            <v>19</v>
          </cell>
          <cell r="UC22">
            <v>145090</v>
          </cell>
          <cell r="UF22" t="e">
            <v>#N/A</v>
          </cell>
          <cell r="UG22" t="e">
            <v>#N/A</v>
          </cell>
          <cell r="UJ22" t="e">
            <v>#N/A</v>
          </cell>
          <cell r="UK22" t="e">
            <v>#N/A</v>
          </cell>
          <cell r="UN22">
            <v>19</v>
          </cell>
          <cell r="UO22">
            <v>5543.6399999999994</v>
          </cell>
          <cell r="UR22" t="e">
            <v>#N/A</v>
          </cell>
          <cell r="US22" t="e">
            <v>#N/A</v>
          </cell>
          <cell r="UV22" t="e">
            <v>#N/A</v>
          </cell>
          <cell r="UW22" t="e">
            <v>#N/A</v>
          </cell>
          <cell r="UZ22">
            <v>19</v>
          </cell>
          <cell r="VA22">
            <v>144023</v>
          </cell>
          <cell r="VD22">
            <v>11</v>
          </cell>
          <cell r="VE22" t="str">
            <v/>
          </cell>
          <cell r="VH22" t="e">
            <v>#N/A</v>
          </cell>
          <cell r="VI22" t="e">
            <v>#N/A</v>
          </cell>
          <cell r="VL22" t="e">
            <v>#N/A</v>
          </cell>
          <cell r="VM22" t="e">
            <v>#N/A</v>
          </cell>
          <cell r="VP22" t="e">
            <v>#N/A</v>
          </cell>
          <cell r="VQ22" t="e">
            <v>#N/A</v>
          </cell>
          <cell r="VT22" t="e">
            <v>#N/A</v>
          </cell>
          <cell r="VU22" t="e">
            <v>#N/A</v>
          </cell>
        </row>
        <row r="23">
          <cell r="A23" t="str">
            <v>+ 2025</v>
          </cell>
          <cell r="I23">
            <v>20</v>
          </cell>
          <cell r="J23" t="str">
            <v>+ 20</v>
          </cell>
          <cell r="GA23">
            <v>0</v>
          </cell>
          <cell r="GB23" t="str">
            <v/>
          </cell>
          <cell r="GE23">
            <v>0</v>
          </cell>
          <cell r="GF23" t="str">
            <v/>
          </cell>
          <cell r="GI23">
            <v>13</v>
          </cell>
          <cell r="GJ23" t="str">
            <v/>
          </cell>
          <cell r="GM23">
            <v>0</v>
          </cell>
          <cell r="GN23" t="str">
            <v/>
          </cell>
          <cell r="GQ23">
            <v>0</v>
          </cell>
          <cell r="GR23" t="str">
            <v/>
          </cell>
          <cell r="GU23">
            <v>0</v>
          </cell>
          <cell r="GV23" t="str">
            <v/>
          </cell>
          <cell r="GY23">
            <v>0</v>
          </cell>
          <cell r="GZ23" t="str">
            <v/>
          </cell>
          <cell r="HC23">
            <v>0</v>
          </cell>
          <cell r="HD23" t="str">
            <v/>
          </cell>
          <cell r="HG23">
            <v>0</v>
          </cell>
          <cell r="HH23" t="str">
            <v/>
          </cell>
          <cell r="HK23">
            <v>0</v>
          </cell>
          <cell r="HL23" t="str">
            <v/>
          </cell>
          <cell r="HO23">
            <v>0</v>
          </cell>
          <cell r="HP23" t="str">
            <v/>
          </cell>
          <cell r="HS23">
            <v>0</v>
          </cell>
          <cell r="HT23" t="str">
            <v/>
          </cell>
          <cell r="HW23">
            <v>0</v>
          </cell>
          <cell r="HX23" t="str">
            <v/>
          </cell>
          <cell r="IA23">
            <v>0</v>
          </cell>
          <cell r="IB23" t="str">
            <v/>
          </cell>
          <cell r="IE23">
            <v>0</v>
          </cell>
          <cell r="IF23" t="str">
            <v/>
          </cell>
          <cell r="II23">
            <v>0</v>
          </cell>
          <cell r="IJ23" t="str">
            <v/>
          </cell>
          <cell r="IM23">
            <v>0</v>
          </cell>
          <cell r="IN23" t="str">
            <v/>
          </cell>
          <cell r="IQ23">
            <v>0</v>
          </cell>
          <cell r="IR23" t="str">
            <v/>
          </cell>
          <cell r="IU23">
            <v>0</v>
          </cell>
          <cell r="IV23" t="str">
            <v/>
          </cell>
          <cell r="IY23">
            <v>0</v>
          </cell>
          <cell r="IZ23" t="str">
            <v/>
          </cell>
          <cell r="JC23">
            <v>0</v>
          </cell>
          <cell r="JD23" t="str">
            <v/>
          </cell>
          <cell r="JG23">
            <v>0</v>
          </cell>
          <cell r="JH23" t="str">
            <v/>
          </cell>
          <cell r="JK23">
            <v>0</v>
          </cell>
          <cell r="JL23" t="str">
            <v/>
          </cell>
          <cell r="JO23" t="e">
            <v>#N/A</v>
          </cell>
          <cell r="JP23" t="e">
            <v>#N/A</v>
          </cell>
          <cell r="JS23" t="e">
            <v>#N/A</v>
          </cell>
          <cell r="JT23" t="e">
            <v>#N/A</v>
          </cell>
          <cell r="JW23">
            <v>0</v>
          </cell>
          <cell r="JX23" t="str">
            <v/>
          </cell>
          <cell r="KA23" t="e">
            <v>#N/A</v>
          </cell>
          <cell r="KB23" t="e">
            <v>#N/A</v>
          </cell>
          <cell r="KE23" t="e">
            <v>#N/A</v>
          </cell>
          <cell r="KF23" t="e">
            <v>#N/A</v>
          </cell>
          <cell r="KI23">
            <v>0</v>
          </cell>
          <cell r="KJ23" t="str">
            <v/>
          </cell>
          <cell r="KM23">
            <v>0</v>
          </cell>
          <cell r="KN23" t="str">
            <v/>
          </cell>
          <cell r="KQ23">
            <v>0</v>
          </cell>
          <cell r="KR23" t="str">
            <v/>
          </cell>
          <cell r="KU23" t="e">
            <v>#N/A</v>
          </cell>
          <cell r="KV23" t="e">
            <v>#N/A</v>
          </cell>
          <cell r="KY23" t="e">
            <v>#N/A</v>
          </cell>
          <cell r="KZ23" t="e">
            <v>#N/A</v>
          </cell>
          <cell r="LC23" t="e">
            <v>#N/A</v>
          </cell>
          <cell r="LD23" t="e">
            <v>#N/A</v>
          </cell>
          <cell r="LG23">
            <v>20</v>
          </cell>
          <cell r="LH23">
            <v>2025</v>
          </cell>
          <cell r="LK23">
            <v>13</v>
          </cell>
          <cell r="LL23" t="str">
            <v/>
          </cell>
          <cell r="LO23">
            <v>20</v>
          </cell>
          <cell r="LP23" t="str">
            <v>Scrap of empty oil Barrels</v>
          </cell>
          <cell r="LS23">
            <v>4</v>
          </cell>
          <cell r="LT23" t="str">
            <v/>
          </cell>
          <cell r="LW23">
            <v>20</v>
          </cell>
          <cell r="LX23">
            <v>3000</v>
          </cell>
          <cell r="MA23">
            <v>3</v>
          </cell>
          <cell r="MB23" t="str">
            <v/>
          </cell>
          <cell r="ME23">
            <v>20</v>
          </cell>
          <cell r="MF23">
            <v>50003</v>
          </cell>
          <cell r="MI23">
            <v>20</v>
          </cell>
          <cell r="MJ23">
            <v>160012</v>
          </cell>
          <cell r="MM23">
            <v>20</v>
          </cell>
          <cell r="MN23">
            <v>28802</v>
          </cell>
          <cell r="MQ23">
            <v>20</v>
          </cell>
          <cell r="MR23">
            <v>188814</v>
          </cell>
          <cell r="MU23">
            <v>20</v>
          </cell>
          <cell r="MV23">
            <v>3776</v>
          </cell>
          <cell r="MY23">
            <v>20</v>
          </cell>
          <cell r="MZ23">
            <v>160.012</v>
          </cell>
          <cell r="NC23">
            <v>20</v>
          </cell>
          <cell r="ND23">
            <v>4248.3185999999996</v>
          </cell>
          <cell r="NG23">
            <v>20</v>
          </cell>
          <cell r="NH23">
            <v>72.005399999999995</v>
          </cell>
          <cell r="NK23">
            <v>20</v>
          </cell>
          <cell r="NL23">
            <v>4176.3131999999996</v>
          </cell>
          <cell r="NO23">
            <v>20</v>
          </cell>
          <cell r="NP23">
            <v>4336</v>
          </cell>
          <cell r="NS23">
            <v>2</v>
          </cell>
          <cell r="NT23" t="str">
            <v/>
          </cell>
          <cell r="NW23">
            <v>5</v>
          </cell>
          <cell r="NX23" t="str">
            <v/>
          </cell>
          <cell r="OA23">
            <v>20</v>
          </cell>
          <cell r="OB23">
            <v>188254</v>
          </cell>
          <cell r="OE23">
            <v>20</v>
          </cell>
          <cell r="OF23">
            <v>40003</v>
          </cell>
          <cell r="OI23">
            <v>20</v>
          </cell>
          <cell r="OJ23">
            <v>40003</v>
          </cell>
          <cell r="OM23">
            <v>6</v>
          </cell>
          <cell r="ON23" t="str">
            <v/>
          </cell>
          <cell r="OQ23">
            <v>20</v>
          </cell>
          <cell r="OR23">
            <v>148251</v>
          </cell>
          <cell r="OU23" t="e">
            <v>#N/A</v>
          </cell>
          <cell r="OV23" t="e">
            <v>#N/A</v>
          </cell>
          <cell r="OY23" t="e">
            <v>#N/A</v>
          </cell>
          <cell r="OZ23" t="e">
            <v>#N/A</v>
          </cell>
          <cell r="PC23">
            <v>20</v>
          </cell>
          <cell r="PD23">
            <v>5664.4247999999998</v>
          </cell>
          <cell r="PG23" t="e">
            <v>#N/A</v>
          </cell>
          <cell r="PH23" t="e">
            <v>#N/A</v>
          </cell>
          <cell r="PK23" t="e">
            <v>#N/A</v>
          </cell>
          <cell r="PL23" t="e">
            <v>#N/A</v>
          </cell>
          <cell r="PO23">
            <v>20</v>
          </cell>
          <cell r="PP23">
            <v>159710</v>
          </cell>
          <cell r="PS23">
            <v>11</v>
          </cell>
          <cell r="PT23" t="str">
            <v/>
          </cell>
          <cell r="PW23">
            <v>1</v>
          </cell>
          <cell r="PX23" t="str">
            <v/>
          </cell>
          <cell r="QA23" t="e">
            <v>#N/A</v>
          </cell>
          <cell r="QB23" t="e">
            <v>#N/A</v>
          </cell>
          <cell r="QE23" t="e">
            <v>#N/A</v>
          </cell>
          <cell r="QF23" t="e">
            <v>#N/A</v>
          </cell>
          <cell r="QI23" t="e">
            <v>#N/A</v>
          </cell>
          <cell r="QJ23" t="e">
            <v>#N/A</v>
          </cell>
          <cell r="QR23">
            <v>20</v>
          </cell>
          <cell r="QS23">
            <v>3000</v>
          </cell>
          <cell r="QV23">
            <v>20</v>
          </cell>
          <cell r="QW23" t="str">
            <v>Scrap of empty oil Barrels</v>
          </cell>
          <cell r="QZ23">
            <v>20</v>
          </cell>
          <cell r="RA23">
            <v>50003</v>
          </cell>
          <cell r="RD23">
            <v>4</v>
          </cell>
          <cell r="RE23" t="str">
            <v/>
          </cell>
          <cell r="RH23">
            <v>3</v>
          </cell>
          <cell r="RI23" t="str">
            <v/>
          </cell>
          <cell r="RL23">
            <v>20</v>
          </cell>
          <cell r="RM23">
            <v>2025</v>
          </cell>
          <cell r="RP23">
            <v>13</v>
          </cell>
          <cell r="RQ23" t="str">
            <v/>
          </cell>
          <cell r="RT23">
            <v>20</v>
          </cell>
          <cell r="RU23">
            <v>160012</v>
          </cell>
          <cell r="RX23">
            <v>20</v>
          </cell>
          <cell r="RY23">
            <v>28802</v>
          </cell>
          <cell r="SB23">
            <v>20</v>
          </cell>
          <cell r="SC23">
            <v>188814</v>
          </cell>
          <cell r="SF23">
            <v>20</v>
          </cell>
          <cell r="SG23">
            <v>3776</v>
          </cell>
          <cell r="SJ23">
            <v>20</v>
          </cell>
          <cell r="SK23">
            <v>160.012</v>
          </cell>
          <cell r="SN23">
            <v>20</v>
          </cell>
          <cell r="SO23">
            <v>4248.3185999999996</v>
          </cell>
          <cell r="SR23">
            <v>20</v>
          </cell>
          <cell r="SS23">
            <v>72.005399999999995</v>
          </cell>
          <cell r="SV23">
            <v>20</v>
          </cell>
          <cell r="SW23">
            <v>4176.3131999999996</v>
          </cell>
          <cell r="SZ23">
            <v>20</v>
          </cell>
          <cell r="TA23">
            <v>4336</v>
          </cell>
          <cell r="TD23">
            <v>2</v>
          </cell>
          <cell r="TE23" t="str">
            <v/>
          </cell>
          <cell r="TH23">
            <v>5</v>
          </cell>
          <cell r="TI23" t="str">
            <v/>
          </cell>
          <cell r="TL23">
            <v>20</v>
          </cell>
          <cell r="TM23">
            <v>188254</v>
          </cell>
          <cell r="TP23">
            <v>20</v>
          </cell>
          <cell r="TQ23">
            <v>40003</v>
          </cell>
          <cell r="TT23">
            <v>20</v>
          </cell>
          <cell r="TU23">
            <v>40003</v>
          </cell>
          <cell r="TX23">
            <v>6</v>
          </cell>
          <cell r="TY23" t="str">
            <v/>
          </cell>
          <cell r="UB23">
            <v>20</v>
          </cell>
          <cell r="UC23">
            <v>148251</v>
          </cell>
          <cell r="UF23" t="e">
            <v>#N/A</v>
          </cell>
          <cell r="UG23" t="e">
            <v>#N/A</v>
          </cell>
          <cell r="UJ23" t="e">
            <v>#N/A</v>
          </cell>
          <cell r="UK23" t="e">
            <v>#N/A</v>
          </cell>
          <cell r="UN23">
            <v>20</v>
          </cell>
          <cell r="UO23">
            <v>5664.4247999999998</v>
          </cell>
          <cell r="UR23" t="e">
            <v>#N/A</v>
          </cell>
          <cell r="US23" t="e">
            <v>#N/A</v>
          </cell>
          <cell r="UV23" t="e">
            <v>#N/A</v>
          </cell>
          <cell r="UW23" t="e">
            <v>#N/A</v>
          </cell>
          <cell r="UZ23">
            <v>20</v>
          </cell>
          <cell r="VA23">
            <v>159710</v>
          </cell>
          <cell r="VD23">
            <v>11</v>
          </cell>
          <cell r="VE23" t="str">
            <v/>
          </cell>
          <cell r="VH23" t="e">
            <v>#N/A</v>
          </cell>
          <cell r="VI23" t="e">
            <v>#N/A</v>
          </cell>
          <cell r="VL23" t="e">
            <v>#N/A</v>
          </cell>
          <cell r="VM23" t="e">
            <v>#N/A</v>
          </cell>
          <cell r="VP23" t="e">
            <v>#N/A</v>
          </cell>
          <cell r="VQ23" t="e">
            <v>#N/A</v>
          </cell>
          <cell r="VT23" t="e">
            <v>#N/A</v>
          </cell>
          <cell r="VU23" t="e">
            <v>#N/A</v>
          </cell>
        </row>
        <row r="24">
          <cell r="A24" t="str">
            <v>+ 2027</v>
          </cell>
          <cell r="I24">
            <v>21</v>
          </cell>
          <cell r="J24" t="str">
            <v>+ 21</v>
          </cell>
          <cell r="GA24">
            <v>0</v>
          </cell>
          <cell r="GB24" t="str">
            <v/>
          </cell>
          <cell r="GE24">
            <v>0</v>
          </cell>
          <cell r="GF24" t="str">
            <v/>
          </cell>
          <cell r="GI24">
            <v>13</v>
          </cell>
          <cell r="GJ24" t="str">
            <v/>
          </cell>
          <cell r="GM24">
            <v>0</v>
          </cell>
          <cell r="GN24" t="str">
            <v/>
          </cell>
          <cell r="GQ24">
            <v>0</v>
          </cell>
          <cell r="GR24" t="str">
            <v/>
          </cell>
          <cell r="GU24">
            <v>0</v>
          </cell>
          <cell r="GV24" t="str">
            <v/>
          </cell>
          <cell r="GY24">
            <v>0</v>
          </cell>
          <cell r="GZ24" t="str">
            <v/>
          </cell>
          <cell r="HC24">
            <v>0</v>
          </cell>
          <cell r="HD24" t="str">
            <v/>
          </cell>
          <cell r="HG24">
            <v>0</v>
          </cell>
          <cell r="HH24" t="str">
            <v/>
          </cell>
          <cell r="HK24">
            <v>0</v>
          </cell>
          <cell r="HL24" t="str">
            <v/>
          </cell>
          <cell r="HO24">
            <v>0</v>
          </cell>
          <cell r="HP24" t="str">
            <v/>
          </cell>
          <cell r="HS24">
            <v>0</v>
          </cell>
          <cell r="HT24" t="str">
            <v/>
          </cell>
          <cell r="HW24">
            <v>0</v>
          </cell>
          <cell r="HX24" t="str">
            <v/>
          </cell>
          <cell r="IA24">
            <v>0</v>
          </cell>
          <cell r="IB24" t="str">
            <v/>
          </cell>
          <cell r="IE24">
            <v>0</v>
          </cell>
          <cell r="IF24" t="str">
            <v/>
          </cell>
          <cell r="II24">
            <v>0</v>
          </cell>
          <cell r="IJ24" t="str">
            <v/>
          </cell>
          <cell r="IM24">
            <v>0</v>
          </cell>
          <cell r="IN24" t="str">
            <v/>
          </cell>
          <cell r="IQ24">
            <v>0</v>
          </cell>
          <cell r="IR24" t="str">
            <v/>
          </cell>
          <cell r="IU24">
            <v>0</v>
          </cell>
          <cell r="IV24" t="str">
            <v/>
          </cell>
          <cell r="IY24">
            <v>0</v>
          </cell>
          <cell r="IZ24" t="str">
            <v/>
          </cell>
          <cell r="JC24">
            <v>0</v>
          </cell>
          <cell r="JD24" t="str">
            <v/>
          </cell>
          <cell r="JG24">
            <v>0</v>
          </cell>
          <cell r="JH24" t="str">
            <v/>
          </cell>
          <cell r="JK24">
            <v>0</v>
          </cell>
          <cell r="JL24" t="str">
            <v/>
          </cell>
          <cell r="JO24" t="e">
            <v>#N/A</v>
          </cell>
          <cell r="JP24" t="e">
            <v>#N/A</v>
          </cell>
          <cell r="JS24" t="e">
            <v>#N/A</v>
          </cell>
          <cell r="JT24" t="e">
            <v>#N/A</v>
          </cell>
          <cell r="JW24">
            <v>0</v>
          </cell>
          <cell r="JX24" t="str">
            <v/>
          </cell>
          <cell r="KA24" t="e">
            <v>#N/A</v>
          </cell>
          <cell r="KB24" t="e">
            <v>#N/A</v>
          </cell>
          <cell r="KE24" t="e">
            <v>#N/A</v>
          </cell>
          <cell r="KF24" t="e">
            <v>#N/A</v>
          </cell>
          <cell r="KI24">
            <v>0</v>
          </cell>
          <cell r="KJ24" t="str">
            <v/>
          </cell>
          <cell r="KM24">
            <v>0</v>
          </cell>
          <cell r="KN24" t="str">
            <v/>
          </cell>
          <cell r="KQ24">
            <v>0</v>
          </cell>
          <cell r="KR24" t="str">
            <v/>
          </cell>
          <cell r="KU24" t="e">
            <v>#N/A</v>
          </cell>
          <cell r="KV24" t="e">
            <v>#N/A</v>
          </cell>
          <cell r="KY24" t="e">
            <v>#N/A</v>
          </cell>
          <cell r="KZ24" t="e">
            <v>#N/A</v>
          </cell>
          <cell r="LC24" t="e">
            <v>#N/A</v>
          </cell>
          <cell r="LD24" t="e">
            <v>#N/A</v>
          </cell>
          <cell r="LG24">
            <v>21</v>
          </cell>
          <cell r="LH24">
            <v>2027</v>
          </cell>
          <cell r="LK24">
            <v>13</v>
          </cell>
          <cell r="LL24" t="str">
            <v/>
          </cell>
          <cell r="LO24">
            <v>21</v>
          </cell>
          <cell r="LP24" t="str">
            <v>Scrap of empty oil Druam</v>
          </cell>
          <cell r="LS24">
            <v>4</v>
          </cell>
          <cell r="LT24" t="str">
            <v/>
          </cell>
          <cell r="LW24">
            <v>21</v>
          </cell>
          <cell r="LX24">
            <v>3500</v>
          </cell>
          <cell r="MA24">
            <v>3</v>
          </cell>
          <cell r="MB24" t="str">
            <v/>
          </cell>
          <cell r="ME24">
            <v>21</v>
          </cell>
          <cell r="MF24">
            <v>51511</v>
          </cell>
          <cell r="MI24">
            <v>21</v>
          </cell>
          <cell r="MJ24">
            <v>198000</v>
          </cell>
          <cell r="MM24">
            <v>21</v>
          </cell>
          <cell r="MN24">
            <v>35640</v>
          </cell>
          <cell r="MQ24">
            <v>21</v>
          </cell>
          <cell r="MR24">
            <v>233640</v>
          </cell>
          <cell r="MU24">
            <v>21</v>
          </cell>
          <cell r="MV24">
            <v>4673</v>
          </cell>
          <cell r="MY24">
            <v>21</v>
          </cell>
          <cell r="MZ24">
            <v>198</v>
          </cell>
          <cell r="NC24">
            <v>21</v>
          </cell>
          <cell r="ND24">
            <v>5256.9</v>
          </cell>
          <cell r="NG24">
            <v>21</v>
          </cell>
          <cell r="NH24">
            <v>89.100000000000009</v>
          </cell>
          <cell r="NK24">
            <v>21</v>
          </cell>
          <cell r="NL24">
            <v>5167.7999999999993</v>
          </cell>
          <cell r="NO24">
            <v>21</v>
          </cell>
          <cell r="NP24">
            <v>5366</v>
          </cell>
          <cell r="NS24">
            <v>2</v>
          </cell>
          <cell r="NT24" t="str">
            <v/>
          </cell>
          <cell r="NW24">
            <v>5</v>
          </cell>
          <cell r="NX24" t="str">
            <v/>
          </cell>
          <cell r="OA24">
            <v>21</v>
          </cell>
          <cell r="OB24">
            <v>232947</v>
          </cell>
          <cell r="OE24">
            <v>21</v>
          </cell>
          <cell r="OF24">
            <v>49500</v>
          </cell>
          <cell r="OI24">
            <v>21</v>
          </cell>
          <cell r="OJ24">
            <v>49500</v>
          </cell>
          <cell r="OM24">
            <v>6</v>
          </cell>
          <cell r="ON24" t="str">
            <v/>
          </cell>
          <cell r="OQ24">
            <v>21</v>
          </cell>
          <cell r="OR24">
            <v>183447</v>
          </cell>
          <cell r="OU24" t="e">
            <v>#N/A</v>
          </cell>
          <cell r="OV24" t="e">
            <v>#N/A</v>
          </cell>
          <cell r="OY24" t="e">
            <v>#N/A</v>
          </cell>
          <cell r="OZ24" t="e">
            <v>#N/A</v>
          </cell>
          <cell r="PC24">
            <v>21</v>
          </cell>
          <cell r="PD24">
            <v>7009.2000000000007</v>
          </cell>
          <cell r="PG24" t="e">
            <v>#N/A</v>
          </cell>
          <cell r="PH24" t="e">
            <v>#N/A</v>
          </cell>
          <cell r="PK24" t="e">
            <v>#N/A</v>
          </cell>
          <cell r="PL24" t="e">
            <v>#N/A</v>
          </cell>
          <cell r="PO24">
            <v>21</v>
          </cell>
          <cell r="PP24">
            <v>184240</v>
          </cell>
          <cell r="PS24">
            <v>11</v>
          </cell>
          <cell r="PT24" t="str">
            <v/>
          </cell>
          <cell r="PW24">
            <v>1</v>
          </cell>
          <cell r="PX24" t="str">
            <v/>
          </cell>
          <cell r="QA24" t="e">
            <v>#N/A</v>
          </cell>
          <cell r="QB24" t="e">
            <v>#N/A</v>
          </cell>
          <cell r="QE24" t="e">
            <v>#N/A</v>
          </cell>
          <cell r="QF24" t="e">
            <v>#N/A</v>
          </cell>
          <cell r="QI24" t="e">
            <v>#N/A</v>
          </cell>
          <cell r="QJ24" t="e">
            <v>#N/A</v>
          </cell>
          <cell r="QR24">
            <v>21</v>
          </cell>
          <cell r="QS24">
            <v>3500</v>
          </cell>
          <cell r="QV24">
            <v>21</v>
          </cell>
          <cell r="QW24" t="str">
            <v>Scrap of empty oil Druam</v>
          </cell>
          <cell r="QZ24">
            <v>21</v>
          </cell>
          <cell r="RA24">
            <v>51511</v>
          </cell>
          <cell r="RD24">
            <v>4</v>
          </cell>
          <cell r="RE24" t="str">
            <v/>
          </cell>
          <cell r="RH24">
            <v>3</v>
          </cell>
          <cell r="RI24" t="str">
            <v/>
          </cell>
          <cell r="RL24">
            <v>21</v>
          </cell>
          <cell r="RM24">
            <v>2027</v>
          </cell>
          <cell r="RP24">
            <v>13</v>
          </cell>
          <cell r="RQ24" t="str">
            <v/>
          </cell>
          <cell r="RT24">
            <v>21</v>
          </cell>
          <cell r="RU24">
            <v>198000</v>
          </cell>
          <cell r="RX24">
            <v>21</v>
          </cell>
          <cell r="RY24">
            <v>35640</v>
          </cell>
          <cell r="SB24">
            <v>21</v>
          </cell>
          <cell r="SC24">
            <v>233640</v>
          </cell>
          <cell r="SF24">
            <v>21</v>
          </cell>
          <cell r="SG24">
            <v>4673</v>
          </cell>
          <cell r="SJ24">
            <v>21</v>
          </cell>
          <cell r="SK24">
            <v>198</v>
          </cell>
          <cell r="SN24">
            <v>21</v>
          </cell>
          <cell r="SO24">
            <v>5256.9</v>
          </cell>
          <cell r="SR24">
            <v>21</v>
          </cell>
          <cell r="SS24">
            <v>89.100000000000009</v>
          </cell>
          <cell r="SV24">
            <v>21</v>
          </cell>
          <cell r="SW24">
            <v>5167.7999999999993</v>
          </cell>
          <cell r="SZ24">
            <v>21</v>
          </cell>
          <cell r="TA24">
            <v>5366</v>
          </cell>
          <cell r="TD24">
            <v>2</v>
          </cell>
          <cell r="TE24" t="str">
            <v/>
          </cell>
          <cell r="TH24">
            <v>5</v>
          </cell>
          <cell r="TI24" t="str">
            <v/>
          </cell>
          <cell r="TL24">
            <v>21</v>
          </cell>
          <cell r="TM24">
            <v>232947</v>
          </cell>
          <cell r="TP24">
            <v>21</v>
          </cell>
          <cell r="TQ24">
            <v>49500</v>
          </cell>
          <cell r="TT24">
            <v>21</v>
          </cell>
          <cell r="TU24">
            <v>49500</v>
          </cell>
          <cell r="TX24">
            <v>6</v>
          </cell>
          <cell r="TY24" t="str">
            <v/>
          </cell>
          <cell r="UB24">
            <v>21</v>
          </cell>
          <cell r="UC24">
            <v>183447</v>
          </cell>
          <cell r="UF24" t="e">
            <v>#N/A</v>
          </cell>
          <cell r="UG24" t="e">
            <v>#N/A</v>
          </cell>
          <cell r="UJ24" t="e">
            <v>#N/A</v>
          </cell>
          <cell r="UK24" t="e">
            <v>#N/A</v>
          </cell>
          <cell r="UN24">
            <v>21</v>
          </cell>
          <cell r="UO24">
            <v>7009.2000000000007</v>
          </cell>
          <cell r="UR24" t="e">
            <v>#N/A</v>
          </cell>
          <cell r="US24" t="e">
            <v>#N/A</v>
          </cell>
          <cell r="UV24" t="e">
            <v>#N/A</v>
          </cell>
          <cell r="UW24" t="e">
            <v>#N/A</v>
          </cell>
          <cell r="UZ24">
            <v>21</v>
          </cell>
          <cell r="VA24">
            <v>184240</v>
          </cell>
          <cell r="VD24">
            <v>11</v>
          </cell>
          <cell r="VE24" t="str">
            <v/>
          </cell>
          <cell r="VH24" t="e">
            <v>#N/A</v>
          </cell>
          <cell r="VI24" t="e">
            <v>#N/A</v>
          </cell>
          <cell r="VL24" t="e">
            <v>#N/A</v>
          </cell>
          <cell r="VM24" t="e">
            <v>#N/A</v>
          </cell>
          <cell r="VP24" t="e">
            <v>#N/A</v>
          </cell>
          <cell r="VQ24" t="e">
            <v>#N/A</v>
          </cell>
          <cell r="VT24" t="e">
            <v>#N/A</v>
          </cell>
          <cell r="VU24" t="e">
            <v>#N/A</v>
          </cell>
        </row>
        <row r="25">
          <cell r="A25" t="str">
            <v>+ 2033</v>
          </cell>
          <cell r="I25">
            <v>22</v>
          </cell>
          <cell r="J25" t="str">
            <v>+ 22</v>
          </cell>
          <cell r="GA25">
            <v>0</v>
          </cell>
          <cell r="GB25" t="str">
            <v/>
          </cell>
          <cell r="GE25">
            <v>0</v>
          </cell>
          <cell r="GF25" t="str">
            <v/>
          </cell>
          <cell r="GI25">
            <v>13</v>
          </cell>
          <cell r="GJ25" t="str">
            <v/>
          </cell>
          <cell r="GM25">
            <v>0</v>
          </cell>
          <cell r="GN25" t="str">
            <v/>
          </cell>
          <cell r="GQ25">
            <v>0</v>
          </cell>
          <cell r="GR25" t="str">
            <v/>
          </cell>
          <cell r="GU25">
            <v>0</v>
          </cell>
          <cell r="GV25" t="str">
            <v/>
          </cell>
          <cell r="GY25">
            <v>0</v>
          </cell>
          <cell r="GZ25" t="str">
            <v/>
          </cell>
          <cell r="HC25">
            <v>0</v>
          </cell>
          <cell r="HD25" t="str">
            <v/>
          </cell>
          <cell r="HG25">
            <v>0</v>
          </cell>
          <cell r="HH25" t="str">
            <v/>
          </cell>
          <cell r="HK25">
            <v>0</v>
          </cell>
          <cell r="HL25" t="str">
            <v/>
          </cell>
          <cell r="HO25">
            <v>0</v>
          </cell>
          <cell r="HP25" t="str">
            <v/>
          </cell>
          <cell r="HS25">
            <v>0</v>
          </cell>
          <cell r="HT25" t="str">
            <v/>
          </cell>
          <cell r="HW25">
            <v>0</v>
          </cell>
          <cell r="HX25" t="str">
            <v/>
          </cell>
          <cell r="IA25">
            <v>0</v>
          </cell>
          <cell r="IB25" t="str">
            <v/>
          </cell>
          <cell r="IE25">
            <v>0</v>
          </cell>
          <cell r="IF25" t="str">
            <v/>
          </cell>
          <cell r="II25">
            <v>0</v>
          </cell>
          <cell r="IJ25" t="str">
            <v/>
          </cell>
          <cell r="IM25">
            <v>0</v>
          </cell>
          <cell r="IN25" t="str">
            <v/>
          </cell>
          <cell r="IQ25">
            <v>0</v>
          </cell>
          <cell r="IR25" t="str">
            <v/>
          </cell>
          <cell r="IU25">
            <v>0</v>
          </cell>
          <cell r="IV25" t="str">
            <v/>
          </cell>
          <cell r="IY25">
            <v>0</v>
          </cell>
          <cell r="IZ25" t="str">
            <v/>
          </cell>
          <cell r="JC25">
            <v>0</v>
          </cell>
          <cell r="JD25" t="str">
            <v/>
          </cell>
          <cell r="JG25">
            <v>0</v>
          </cell>
          <cell r="JH25" t="str">
            <v/>
          </cell>
          <cell r="JK25">
            <v>0</v>
          </cell>
          <cell r="JL25" t="str">
            <v/>
          </cell>
          <cell r="JO25" t="e">
            <v>#N/A</v>
          </cell>
          <cell r="JP25" t="e">
            <v>#N/A</v>
          </cell>
          <cell r="JS25" t="e">
            <v>#N/A</v>
          </cell>
          <cell r="JT25" t="e">
            <v>#N/A</v>
          </cell>
          <cell r="JW25">
            <v>0</v>
          </cell>
          <cell r="JX25" t="str">
            <v/>
          </cell>
          <cell r="KA25" t="e">
            <v>#N/A</v>
          </cell>
          <cell r="KB25" t="e">
            <v>#N/A</v>
          </cell>
          <cell r="KE25" t="e">
            <v>#N/A</v>
          </cell>
          <cell r="KF25" t="e">
            <v>#N/A</v>
          </cell>
          <cell r="KI25">
            <v>0</v>
          </cell>
          <cell r="KJ25" t="str">
            <v/>
          </cell>
          <cell r="KM25">
            <v>0</v>
          </cell>
          <cell r="KN25" t="str">
            <v/>
          </cell>
          <cell r="KQ25">
            <v>0</v>
          </cell>
          <cell r="KR25" t="str">
            <v/>
          </cell>
          <cell r="KU25" t="e">
            <v>#N/A</v>
          </cell>
          <cell r="KV25" t="e">
            <v>#N/A</v>
          </cell>
          <cell r="KY25" t="e">
            <v>#N/A</v>
          </cell>
          <cell r="KZ25" t="e">
            <v>#N/A</v>
          </cell>
          <cell r="LC25" t="e">
            <v>#N/A</v>
          </cell>
          <cell r="LD25" t="e">
            <v>#N/A</v>
          </cell>
          <cell r="LG25">
            <v>22</v>
          </cell>
          <cell r="LH25">
            <v>2033</v>
          </cell>
          <cell r="LK25">
            <v>13</v>
          </cell>
          <cell r="LL25" t="str">
            <v/>
          </cell>
          <cell r="LO25">
            <v>22</v>
          </cell>
          <cell r="LP25" t="str">
            <v>Scrap of Empty oil drum</v>
          </cell>
          <cell r="LS25">
            <v>4</v>
          </cell>
          <cell r="LT25" t="str">
            <v/>
          </cell>
          <cell r="LW25">
            <v>22</v>
          </cell>
          <cell r="LX25">
            <v>7253</v>
          </cell>
          <cell r="MA25">
            <v>3</v>
          </cell>
          <cell r="MB25" t="str">
            <v/>
          </cell>
          <cell r="ME25">
            <v>22</v>
          </cell>
          <cell r="MF25">
            <v>54000</v>
          </cell>
          <cell r="MI25">
            <v>22</v>
          </cell>
          <cell r="MJ25">
            <v>206044</v>
          </cell>
          <cell r="MM25">
            <v>22</v>
          </cell>
          <cell r="MN25">
            <v>37088</v>
          </cell>
          <cell r="MQ25">
            <v>22</v>
          </cell>
          <cell r="MR25">
            <v>243132</v>
          </cell>
          <cell r="MU25">
            <v>22</v>
          </cell>
          <cell r="MV25">
            <v>4863</v>
          </cell>
          <cell r="MY25">
            <v>22</v>
          </cell>
          <cell r="MZ25">
            <v>206.04400000000001</v>
          </cell>
          <cell r="NC25">
            <v>22</v>
          </cell>
          <cell r="ND25">
            <v>5470.4681999999993</v>
          </cell>
          <cell r="NG25">
            <v>22</v>
          </cell>
          <cell r="NH25">
            <v>92.719799999999992</v>
          </cell>
          <cell r="NK25">
            <v>22</v>
          </cell>
          <cell r="NL25">
            <v>5377.7483999999995</v>
          </cell>
          <cell r="NO25">
            <v>22</v>
          </cell>
          <cell r="NP25">
            <v>5584</v>
          </cell>
          <cell r="NS25">
            <v>2</v>
          </cell>
          <cell r="NT25" t="str">
            <v/>
          </cell>
          <cell r="NW25">
            <v>5</v>
          </cell>
          <cell r="NX25" t="str">
            <v/>
          </cell>
          <cell r="OA25">
            <v>22</v>
          </cell>
          <cell r="OB25">
            <v>242411</v>
          </cell>
          <cell r="OE25">
            <v>22</v>
          </cell>
          <cell r="OF25">
            <v>51511</v>
          </cell>
          <cell r="OI25">
            <v>22</v>
          </cell>
          <cell r="OJ25">
            <v>51511</v>
          </cell>
          <cell r="OM25">
            <v>6</v>
          </cell>
          <cell r="ON25" t="str">
            <v/>
          </cell>
          <cell r="OQ25">
            <v>22</v>
          </cell>
          <cell r="OR25">
            <v>190900</v>
          </cell>
          <cell r="OU25" t="e">
            <v>#N/A</v>
          </cell>
          <cell r="OV25" t="e">
            <v>#N/A</v>
          </cell>
          <cell r="OY25" t="e">
            <v>#N/A</v>
          </cell>
          <cell r="OZ25" t="e">
            <v>#N/A</v>
          </cell>
          <cell r="PC25">
            <v>22</v>
          </cell>
          <cell r="PD25">
            <v>7293.9575999999997</v>
          </cell>
          <cell r="PG25" t="e">
            <v>#N/A</v>
          </cell>
          <cell r="PH25" t="e">
            <v>#N/A</v>
          </cell>
          <cell r="PK25" t="e">
            <v>#N/A</v>
          </cell>
          <cell r="PL25" t="e">
            <v>#N/A</v>
          </cell>
          <cell r="PO25">
            <v>22</v>
          </cell>
          <cell r="PP25">
            <v>188254</v>
          </cell>
          <cell r="PS25">
            <v>11</v>
          </cell>
          <cell r="PT25" t="str">
            <v/>
          </cell>
          <cell r="PW25">
            <v>1</v>
          </cell>
          <cell r="PX25" t="str">
            <v/>
          </cell>
          <cell r="QA25" t="e">
            <v>#N/A</v>
          </cell>
          <cell r="QB25" t="e">
            <v>#N/A</v>
          </cell>
          <cell r="QE25" t="e">
            <v>#N/A</v>
          </cell>
          <cell r="QF25" t="e">
            <v>#N/A</v>
          </cell>
          <cell r="QI25" t="e">
            <v>#N/A</v>
          </cell>
          <cell r="QJ25" t="e">
            <v>#N/A</v>
          </cell>
          <cell r="QR25">
            <v>22</v>
          </cell>
          <cell r="QS25">
            <v>7253</v>
          </cell>
          <cell r="QV25">
            <v>22</v>
          </cell>
          <cell r="QW25" t="str">
            <v>Scrap of Empty oil drum</v>
          </cell>
          <cell r="QZ25">
            <v>22</v>
          </cell>
          <cell r="RA25">
            <v>54000</v>
          </cell>
          <cell r="RD25">
            <v>4</v>
          </cell>
          <cell r="RE25" t="str">
            <v/>
          </cell>
          <cell r="RH25">
            <v>3</v>
          </cell>
          <cell r="RI25" t="str">
            <v/>
          </cell>
          <cell r="RL25">
            <v>22</v>
          </cell>
          <cell r="RM25">
            <v>2033</v>
          </cell>
          <cell r="RP25">
            <v>13</v>
          </cell>
          <cell r="RQ25" t="str">
            <v/>
          </cell>
          <cell r="RT25">
            <v>22</v>
          </cell>
          <cell r="RU25">
            <v>206044</v>
          </cell>
          <cell r="RX25">
            <v>22</v>
          </cell>
          <cell r="RY25">
            <v>37088</v>
          </cell>
          <cell r="SB25">
            <v>22</v>
          </cell>
          <cell r="SC25">
            <v>243132</v>
          </cell>
          <cell r="SF25">
            <v>22</v>
          </cell>
          <cell r="SG25">
            <v>4863</v>
          </cell>
          <cell r="SJ25">
            <v>22</v>
          </cell>
          <cell r="SK25">
            <v>206.04400000000001</v>
          </cell>
          <cell r="SN25">
            <v>22</v>
          </cell>
          <cell r="SO25">
            <v>5470.4681999999993</v>
          </cell>
          <cell r="SR25">
            <v>22</v>
          </cell>
          <cell r="SS25">
            <v>92.719799999999992</v>
          </cell>
          <cell r="SV25">
            <v>22</v>
          </cell>
          <cell r="SW25">
            <v>5377.7483999999995</v>
          </cell>
          <cell r="SZ25">
            <v>22</v>
          </cell>
          <cell r="TA25">
            <v>5584</v>
          </cell>
          <cell r="TD25">
            <v>2</v>
          </cell>
          <cell r="TE25" t="str">
            <v/>
          </cell>
          <cell r="TH25">
            <v>5</v>
          </cell>
          <cell r="TI25" t="str">
            <v/>
          </cell>
          <cell r="TL25">
            <v>22</v>
          </cell>
          <cell r="TM25">
            <v>242411</v>
          </cell>
          <cell r="TP25">
            <v>22</v>
          </cell>
          <cell r="TQ25">
            <v>51511</v>
          </cell>
          <cell r="TT25">
            <v>22</v>
          </cell>
          <cell r="TU25">
            <v>51511</v>
          </cell>
          <cell r="TX25">
            <v>6</v>
          </cell>
          <cell r="TY25" t="str">
            <v/>
          </cell>
          <cell r="UB25">
            <v>22</v>
          </cell>
          <cell r="UC25">
            <v>190900</v>
          </cell>
          <cell r="UF25" t="e">
            <v>#N/A</v>
          </cell>
          <cell r="UG25" t="e">
            <v>#N/A</v>
          </cell>
          <cell r="UJ25" t="e">
            <v>#N/A</v>
          </cell>
          <cell r="UK25" t="e">
            <v>#N/A</v>
          </cell>
          <cell r="UN25">
            <v>22</v>
          </cell>
          <cell r="UO25">
            <v>7293.9575999999997</v>
          </cell>
          <cell r="UR25" t="e">
            <v>#N/A</v>
          </cell>
          <cell r="US25" t="e">
            <v>#N/A</v>
          </cell>
          <cell r="UV25" t="e">
            <v>#N/A</v>
          </cell>
          <cell r="UW25" t="e">
            <v>#N/A</v>
          </cell>
          <cell r="UZ25">
            <v>22</v>
          </cell>
          <cell r="VA25">
            <v>188254</v>
          </cell>
          <cell r="VD25">
            <v>11</v>
          </cell>
          <cell r="VE25" t="str">
            <v/>
          </cell>
          <cell r="VH25" t="e">
            <v>#N/A</v>
          </cell>
          <cell r="VI25" t="e">
            <v>#N/A</v>
          </cell>
          <cell r="VL25" t="e">
            <v>#N/A</v>
          </cell>
          <cell r="VM25" t="e">
            <v>#N/A</v>
          </cell>
          <cell r="VP25" t="e">
            <v>#N/A</v>
          </cell>
          <cell r="VQ25" t="e">
            <v>#N/A</v>
          </cell>
          <cell r="VT25" t="e">
            <v>#N/A</v>
          </cell>
          <cell r="VU25" t="e">
            <v>#N/A</v>
          </cell>
        </row>
        <row r="26">
          <cell r="A26" t="str">
            <v>+ 2035</v>
          </cell>
          <cell r="I26">
            <v>23</v>
          </cell>
          <cell r="J26" t="str">
            <v>+ 23</v>
          </cell>
          <cell r="GA26">
            <v>0</v>
          </cell>
          <cell r="GB26" t="str">
            <v/>
          </cell>
          <cell r="GE26">
            <v>0</v>
          </cell>
          <cell r="GF26" t="str">
            <v/>
          </cell>
          <cell r="GI26">
            <v>13</v>
          </cell>
          <cell r="GJ26" t="str">
            <v/>
          </cell>
          <cell r="GM26">
            <v>0</v>
          </cell>
          <cell r="GN26" t="str">
            <v/>
          </cell>
          <cell r="GQ26">
            <v>0</v>
          </cell>
          <cell r="GR26" t="str">
            <v/>
          </cell>
          <cell r="GU26">
            <v>0</v>
          </cell>
          <cell r="GV26" t="str">
            <v/>
          </cell>
          <cell r="GY26">
            <v>0</v>
          </cell>
          <cell r="GZ26" t="str">
            <v/>
          </cell>
          <cell r="HC26">
            <v>0</v>
          </cell>
          <cell r="HD26" t="str">
            <v/>
          </cell>
          <cell r="HG26">
            <v>0</v>
          </cell>
          <cell r="HH26" t="str">
            <v/>
          </cell>
          <cell r="HK26">
            <v>0</v>
          </cell>
          <cell r="HL26" t="str">
            <v/>
          </cell>
          <cell r="HO26">
            <v>0</v>
          </cell>
          <cell r="HP26" t="str">
            <v/>
          </cell>
          <cell r="HS26">
            <v>0</v>
          </cell>
          <cell r="HT26" t="str">
            <v/>
          </cell>
          <cell r="HW26">
            <v>0</v>
          </cell>
          <cell r="HX26" t="str">
            <v/>
          </cell>
          <cell r="IA26">
            <v>0</v>
          </cell>
          <cell r="IB26" t="str">
            <v/>
          </cell>
          <cell r="IE26">
            <v>0</v>
          </cell>
          <cell r="IF26" t="str">
            <v/>
          </cell>
          <cell r="II26">
            <v>0</v>
          </cell>
          <cell r="IJ26" t="str">
            <v/>
          </cell>
          <cell r="IM26">
            <v>0</v>
          </cell>
          <cell r="IN26" t="str">
            <v/>
          </cell>
          <cell r="IQ26">
            <v>0</v>
          </cell>
          <cell r="IR26" t="str">
            <v/>
          </cell>
          <cell r="IU26">
            <v>0</v>
          </cell>
          <cell r="IV26" t="str">
            <v/>
          </cell>
          <cell r="IY26">
            <v>0</v>
          </cell>
          <cell r="IZ26" t="str">
            <v/>
          </cell>
          <cell r="JC26">
            <v>0</v>
          </cell>
          <cell r="JD26" t="str">
            <v/>
          </cell>
          <cell r="JG26">
            <v>0</v>
          </cell>
          <cell r="JH26" t="str">
            <v/>
          </cell>
          <cell r="JK26">
            <v>0</v>
          </cell>
          <cell r="JL26" t="str">
            <v/>
          </cell>
          <cell r="JO26" t="e">
            <v>#N/A</v>
          </cell>
          <cell r="JP26" t="e">
            <v>#N/A</v>
          </cell>
          <cell r="JS26" t="e">
            <v>#N/A</v>
          </cell>
          <cell r="JT26" t="e">
            <v>#N/A</v>
          </cell>
          <cell r="JW26">
            <v>0</v>
          </cell>
          <cell r="JX26" t="str">
            <v/>
          </cell>
          <cell r="KA26" t="e">
            <v>#N/A</v>
          </cell>
          <cell r="KB26" t="e">
            <v>#N/A</v>
          </cell>
          <cell r="KE26" t="e">
            <v>#N/A</v>
          </cell>
          <cell r="KF26" t="e">
            <v>#N/A</v>
          </cell>
          <cell r="KI26">
            <v>0</v>
          </cell>
          <cell r="KJ26" t="str">
            <v/>
          </cell>
          <cell r="KM26">
            <v>0</v>
          </cell>
          <cell r="KN26" t="str">
            <v/>
          </cell>
          <cell r="KQ26">
            <v>0</v>
          </cell>
          <cell r="KR26" t="str">
            <v/>
          </cell>
          <cell r="KU26" t="e">
            <v>#N/A</v>
          </cell>
          <cell r="KV26" t="e">
            <v>#N/A</v>
          </cell>
          <cell r="KY26" t="e">
            <v>#N/A</v>
          </cell>
          <cell r="KZ26" t="e">
            <v>#N/A</v>
          </cell>
          <cell r="LC26" t="e">
            <v>#N/A</v>
          </cell>
          <cell r="LD26" t="e">
            <v>#N/A</v>
          </cell>
          <cell r="LG26">
            <v>23</v>
          </cell>
          <cell r="LH26">
            <v>2035</v>
          </cell>
          <cell r="LK26">
            <v>13</v>
          </cell>
          <cell r="LL26" t="str">
            <v/>
          </cell>
          <cell r="LO26">
            <v>23</v>
          </cell>
          <cell r="LP26" t="str">
            <v>Scrap of empty oil drums</v>
          </cell>
          <cell r="LS26">
            <v>4</v>
          </cell>
          <cell r="LT26" t="str">
            <v/>
          </cell>
          <cell r="LW26">
            <v>22</v>
          </cell>
          <cell r="LX26" t="str">
            <v/>
          </cell>
          <cell r="MA26">
            <v>3</v>
          </cell>
          <cell r="MB26" t="str">
            <v/>
          </cell>
          <cell r="ME26">
            <v>23</v>
          </cell>
          <cell r="MF26">
            <v>65007</v>
          </cell>
          <cell r="MI26">
            <v>23</v>
          </cell>
          <cell r="MJ26">
            <v>207030</v>
          </cell>
          <cell r="MM26">
            <v>23</v>
          </cell>
          <cell r="MN26">
            <v>37265</v>
          </cell>
          <cell r="MQ26">
            <v>23</v>
          </cell>
          <cell r="MR26">
            <v>244295</v>
          </cell>
          <cell r="MU26">
            <v>23</v>
          </cell>
          <cell r="MV26">
            <v>4886</v>
          </cell>
          <cell r="MY26">
            <v>23</v>
          </cell>
          <cell r="MZ26">
            <v>207.03</v>
          </cell>
          <cell r="NC26">
            <v>23</v>
          </cell>
          <cell r="ND26">
            <v>5496.6464999999998</v>
          </cell>
          <cell r="NG26">
            <v>23</v>
          </cell>
          <cell r="NH26">
            <v>93.163499999999999</v>
          </cell>
          <cell r="NK26">
            <v>23</v>
          </cell>
          <cell r="NL26">
            <v>5403.4830000000002</v>
          </cell>
          <cell r="NO26">
            <v>23</v>
          </cell>
          <cell r="NP26">
            <v>5611</v>
          </cell>
          <cell r="NS26">
            <v>2</v>
          </cell>
          <cell r="NT26" t="str">
            <v/>
          </cell>
          <cell r="NW26">
            <v>5</v>
          </cell>
          <cell r="NX26" t="str">
            <v/>
          </cell>
          <cell r="OA26">
            <v>23</v>
          </cell>
          <cell r="OB26">
            <v>243571</v>
          </cell>
          <cell r="OE26">
            <v>23</v>
          </cell>
          <cell r="OF26">
            <v>51758</v>
          </cell>
          <cell r="OI26">
            <v>23</v>
          </cell>
          <cell r="OJ26">
            <v>51758</v>
          </cell>
          <cell r="OM26">
            <v>6</v>
          </cell>
          <cell r="ON26" t="str">
            <v/>
          </cell>
          <cell r="OQ26">
            <v>23</v>
          </cell>
          <cell r="OR26">
            <v>191813</v>
          </cell>
          <cell r="OU26" t="e">
            <v>#N/A</v>
          </cell>
          <cell r="OV26" t="e">
            <v>#N/A</v>
          </cell>
          <cell r="OY26" t="e">
            <v>#N/A</v>
          </cell>
          <cell r="OZ26" t="e">
            <v>#N/A</v>
          </cell>
          <cell r="PC26">
            <v>23</v>
          </cell>
          <cell r="PD26">
            <v>7328.8619999999992</v>
          </cell>
          <cell r="PG26" t="e">
            <v>#N/A</v>
          </cell>
          <cell r="PH26" t="e">
            <v>#N/A</v>
          </cell>
          <cell r="PK26" t="e">
            <v>#N/A</v>
          </cell>
          <cell r="PL26" t="e">
            <v>#N/A</v>
          </cell>
          <cell r="PO26">
            <v>23</v>
          </cell>
          <cell r="PP26">
            <v>232946</v>
          </cell>
          <cell r="PS26">
            <v>11</v>
          </cell>
          <cell r="PT26" t="str">
            <v/>
          </cell>
          <cell r="PW26">
            <v>1</v>
          </cell>
          <cell r="PX26" t="str">
            <v/>
          </cell>
          <cell r="QA26" t="e">
            <v>#N/A</v>
          </cell>
          <cell r="QB26" t="e">
            <v>#N/A</v>
          </cell>
          <cell r="QE26" t="e">
            <v>#N/A</v>
          </cell>
          <cell r="QF26" t="e">
            <v>#N/A</v>
          </cell>
          <cell r="QI26" t="e">
            <v>#N/A</v>
          </cell>
          <cell r="QJ26" t="e">
            <v>#N/A</v>
          </cell>
          <cell r="QR26">
            <v>22</v>
          </cell>
          <cell r="QS26" t="str">
            <v/>
          </cell>
          <cell r="QV26">
            <v>23</v>
          </cell>
          <cell r="QW26" t="str">
            <v>Scrap of empty oil drums</v>
          </cell>
          <cell r="QZ26">
            <v>23</v>
          </cell>
          <cell r="RA26">
            <v>65007</v>
          </cell>
          <cell r="RD26">
            <v>4</v>
          </cell>
          <cell r="RE26" t="str">
            <v/>
          </cell>
          <cell r="RH26">
            <v>3</v>
          </cell>
          <cell r="RI26" t="str">
            <v/>
          </cell>
          <cell r="RL26">
            <v>23</v>
          </cell>
          <cell r="RM26">
            <v>2035</v>
          </cell>
          <cell r="RP26">
            <v>13</v>
          </cell>
          <cell r="RQ26" t="str">
            <v/>
          </cell>
          <cell r="RT26">
            <v>23</v>
          </cell>
          <cell r="RU26">
            <v>207030</v>
          </cell>
          <cell r="RX26">
            <v>23</v>
          </cell>
          <cell r="RY26">
            <v>37265</v>
          </cell>
          <cell r="SB26">
            <v>23</v>
          </cell>
          <cell r="SC26">
            <v>244295</v>
          </cell>
          <cell r="SF26">
            <v>23</v>
          </cell>
          <cell r="SG26">
            <v>4886</v>
          </cell>
          <cell r="SJ26">
            <v>23</v>
          </cell>
          <cell r="SK26">
            <v>207.03</v>
          </cell>
          <cell r="SN26">
            <v>23</v>
          </cell>
          <cell r="SO26">
            <v>5496.6464999999998</v>
          </cell>
          <cell r="SR26">
            <v>23</v>
          </cell>
          <cell r="SS26">
            <v>93.163499999999999</v>
          </cell>
          <cell r="SV26">
            <v>23</v>
          </cell>
          <cell r="SW26">
            <v>5403.4830000000002</v>
          </cell>
          <cell r="SZ26">
            <v>23</v>
          </cell>
          <cell r="TA26">
            <v>5611</v>
          </cell>
          <cell r="TD26">
            <v>2</v>
          </cell>
          <cell r="TE26" t="str">
            <v/>
          </cell>
          <cell r="TH26">
            <v>5</v>
          </cell>
          <cell r="TI26" t="str">
            <v/>
          </cell>
          <cell r="TL26">
            <v>23</v>
          </cell>
          <cell r="TM26">
            <v>243571</v>
          </cell>
          <cell r="TP26">
            <v>23</v>
          </cell>
          <cell r="TQ26">
            <v>51758</v>
          </cell>
          <cell r="TT26">
            <v>23</v>
          </cell>
          <cell r="TU26">
            <v>51758</v>
          </cell>
          <cell r="TX26">
            <v>6</v>
          </cell>
          <cell r="TY26" t="str">
            <v/>
          </cell>
          <cell r="UB26">
            <v>23</v>
          </cell>
          <cell r="UC26">
            <v>191813</v>
          </cell>
          <cell r="UF26" t="e">
            <v>#N/A</v>
          </cell>
          <cell r="UG26" t="e">
            <v>#N/A</v>
          </cell>
          <cell r="UJ26" t="e">
            <v>#N/A</v>
          </cell>
          <cell r="UK26" t="e">
            <v>#N/A</v>
          </cell>
          <cell r="UN26">
            <v>23</v>
          </cell>
          <cell r="UO26">
            <v>7328.8619999999992</v>
          </cell>
          <cell r="UR26" t="e">
            <v>#N/A</v>
          </cell>
          <cell r="US26" t="e">
            <v>#N/A</v>
          </cell>
          <cell r="UV26" t="e">
            <v>#N/A</v>
          </cell>
          <cell r="UW26" t="e">
            <v>#N/A</v>
          </cell>
          <cell r="UZ26">
            <v>23</v>
          </cell>
          <cell r="VA26">
            <v>232946</v>
          </cell>
          <cell r="VD26">
            <v>11</v>
          </cell>
          <cell r="VE26" t="str">
            <v/>
          </cell>
          <cell r="VH26" t="e">
            <v>#N/A</v>
          </cell>
          <cell r="VI26" t="e">
            <v>#N/A</v>
          </cell>
          <cell r="VL26" t="e">
            <v>#N/A</v>
          </cell>
          <cell r="VM26" t="e">
            <v>#N/A</v>
          </cell>
          <cell r="VP26" t="e">
            <v>#N/A</v>
          </cell>
          <cell r="VQ26" t="e">
            <v>#N/A</v>
          </cell>
          <cell r="VT26" t="e">
            <v>#N/A</v>
          </cell>
          <cell r="VU26" t="e">
            <v>#N/A</v>
          </cell>
        </row>
        <row r="27">
          <cell r="A27" t="str">
            <v>+ 2036</v>
          </cell>
          <cell r="I27">
            <v>24</v>
          </cell>
          <cell r="J27" t="str">
            <v>+ 24</v>
          </cell>
          <cell r="GA27">
            <v>0</v>
          </cell>
          <cell r="GB27" t="str">
            <v/>
          </cell>
          <cell r="GE27">
            <v>0</v>
          </cell>
          <cell r="GF27" t="str">
            <v/>
          </cell>
          <cell r="GI27">
            <v>13</v>
          </cell>
          <cell r="GJ27" t="str">
            <v/>
          </cell>
          <cell r="GM27">
            <v>0</v>
          </cell>
          <cell r="GN27" t="str">
            <v/>
          </cell>
          <cell r="GQ27">
            <v>0</v>
          </cell>
          <cell r="GR27" t="str">
            <v/>
          </cell>
          <cell r="GU27">
            <v>0</v>
          </cell>
          <cell r="GV27" t="str">
            <v/>
          </cell>
          <cell r="GY27">
            <v>0</v>
          </cell>
          <cell r="GZ27" t="str">
            <v/>
          </cell>
          <cell r="HC27">
            <v>0</v>
          </cell>
          <cell r="HD27" t="str">
            <v/>
          </cell>
          <cell r="HG27">
            <v>0</v>
          </cell>
          <cell r="HH27" t="str">
            <v/>
          </cell>
          <cell r="HK27">
            <v>0</v>
          </cell>
          <cell r="HL27" t="str">
            <v/>
          </cell>
          <cell r="HO27">
            <v>0</v>
          </cell>
          <cell r="HP27" t="str">
            <v/>
          </cell>
          <cell r="HS27">
            <v>0</v>
          </cell>
          <cell r="HT27" t="str">
            <v/>
          </cell>
          <cell r="HW27">
            <v>0</v>
          </cell>
          <cell r="HX27" t="str">
            <v/>
          </cell>
          <cell r="IA27">
            <v>0</v>
          </cell>
          <cell r="IB27" t="str">
            <v/>
          </cell>
          <cell r="IE27">
            <v>0</v>
          </cell>
          <cell r="IF27" t="str">
            <v/>
          </cell>
          <cell r="II27">
            <v>0</v>
          </cell>
          <cell r="IJ27" t="str">
            <v/>
          </cell>
          <cell r="IM27">
            <v>0</v>
          </cell>
          <cell r="IN27" t="str">
            <v/>
          </cell>
          <cell r="IQ27">
            <v>0</v>
          </cell>
          <cell r="IR27" t="str">
            <v/>
          </cell>
          <cell r="IU27">
            <v>0</v>
          </cell>
          <cell r="IV27" t="str">
            <v/>
          </cell>
          <cell r="IY27">
            <v>0</v>
          </cell>
          <cell r="IZ27" t="str">
            <v/>
          </cell>
          <cell r="JC27">
            <v>0</v>
          </cell>
          <cell r="JD27" t="str">
            <v/>
          </cell>
          <cell r="JG27">
            <v>0</v>
          </cell>
          <cell r="JH27" t="str">
            <v/>
          </cell>
          <cell r="JK27">
            <v>0</v>
          </cell>
          <cell r="JL27" t="str">
            <v/>
          </cell>
          <cell r="JO27" t="e">
            <v>#N/A</v>
          </cell>
          <cell r="JP27" t="e">
            <v>#N/A</v>
          </cell>
          <cell r="JS27" t="e">
            <v>#N/A</v>
          </cell>
          <cell r="JT27" t="e">
            <v>#N/A</v>
          </cell>
          <cell r="JW27">
            <v>0</v>
          </cell>
          <cell r="JX27" t="str">
            <v/>
          </cell>
          <cell r="KA27" t="e">
            <v>#N/A</v>
          </cell>
          <cell r="KB27" t="e">
            <v>#N/A</v>
          </cell>
          <cell r="KE27" t="e">
            <v>#N/A</v>
          </cell>
          <cell r="KF27" t="e">
            <v>#N/A</v>
          </cell>
          <cell r="KI27">
            <v>0</v>
          </cell>
          <cell r="KJ27" t="str">
            <v/>
          </cell>
          <cell r="KM27">
            <v>0</v>
          </cell>
          <cell r="KN27" t="str">
            <v/>
          </cell>
          <cell r="KQ27">
            <v>0</v>
          </cell>
          <cell r="KR27" t="str">
            <v/>
          </cell>
          <cell r="KU27" t="e">
            <v>#N/A</v>
          </cell>
          <cell r="KV27" t="e">
            <v>#N/A</v>
          </cell>
          <cell r="KY27" t="e">
            <v>#N/A</v>
          </cell>
          <cell r="KZ27" t="e">
            <v>#N/A</v>
          </cell>
          <cell r="LC27" t="e">
            <v>#N/A</v>
          </cell>
          <cell r="LD27" t="e">
            <v>#N/A</v>
          </cell>
          <cell r="LG27">
            <v>24</v>
          </cell>
          <cell r="LH27">
            <v>2036</v>
          </cell>
          <cell r="LK27">
            <v>13</v>
          </cell>
          <cell r="LL27" t="str">
            <v/>
          </cell>
          <cell r="LO27">
            <v>24</v>
          </cell>
          <cell r="LP27" t="str">
            <v>Scrap of MS (extracted from equip cage and empty Sf6 gas cylinder)</v>
          </cell>
          <cell r="LS27">
            <v>4</v>
          </cell>
          <cell r="LT27" t="str">
            <v/>
          </cell>
          <cell r="LW27">
            <v>22</v>
          </cell>
          <cell r="LX27" t="str">
            <v/>
          </cell>
          <cell r="MA27">
            <v>3</v>
          </cell>
          <cell r="MB27" t="str">
            <v/>
          </cell>
          <cell r="ME27">
            <v>24</v>
          </cell>
          <cell r="MF27">
            <v>67000</v>
          </cell>
          <cell r="MI27">
            <v>24</v>
          </cell>
          <cell r="MJ27">
            <v>210001</v>
          </cell>
          <cell r="MM27">
            <v>24</v>
          </cell>
          <cell r="MN27">
            <v>37800</v>
          </cell>
          <cell r="MQ27">
            <v>24</v>
          </cell>
          <cell r="MR27">
            <v>247801</v>
          </cell>
          <cell r="MU27">
            <v>24</v>
          </cell>
          <cell r="MV27">
            <v>4956</v>
          </cell>
          <cell r="MY27">
            <v>24</v>
          </cell>
          <cell r="MZ27">
            <v>210.001</v>
          </cell>
          <cell r="NC27">
            <v>24</v>
          </cell>
          <cell r="ND27">
            <v>5575.5265499999996</v>
          </cell>
          <cell r="NG27">
            <v>24</v>
          </cell>
          <cell r="NH27">
            <v>94.500450000000001</v>
          </cell>
          <cell r="NK27">
            <v>24</v>
          </cell>
          <cell r="NL27">
            <v>5481.0260999999991</v>
          </cell>
          <cell r="NO27">
            <v>24</v>
          </cell>
          <cell r="NP27">
            <v>5691</v>
          </cell>
          <cell r="NS27">
            <v>2</v>
          </cell>
          <cell r="NT27" t="str">
            <v/>
          </cell>
          <cell r="NW27">
            <v>5</v>
          </cell>
          <cell r="NX27" t="str">
            <v/>
          </cell>
          <cell r="OA27">
            <v>24</v>
          </cell>
          <cell r="OB27">
            <v>247066</v>
          </cell>
          <cell r="OE27">
            <v>24</v>
          </cell>
          <cell r="OF27">
            <v>52500</v>
          </cell>
          <cell r="OI27">
            <v>24</v>
          </cell>
          <cell r="OJ27">
            <v>52500</v>
          </cell>
          <cell r="OM27">
            <v>6</v>
          </cell>
          <cell r="ON27" t="str">
            <v/>
          </cell>
          <cell r="OQ27">
            <v>24</v>
          </cell>
          <cell r="OR27">
            <v>194566</v>
          </cell>
          <cell r="OU27" t="e">
            <v>#N/A</v>
          </cell>
          <cell r="OV27" t="e">
            <v>#N/A</v>
          </cell>
          <cell r="OY27" t="e">
            <v>#N/A</v>
          </cell>
          <cell r="OZ27" t="e">
            <v>#N/A</v>
          </cell>
          <cell r="PC27">
            <v>24</v>
          </cell>
          <cell r="PD27">
            <v>7434.0353999999988</v>
          </cell>
          <cell r="PG27" t="e">
            <v>#N/A</v>
          </cell>
          <cell r="PH27" t="e">
            <v>#N/A</v>
          </cell>
          <cell r="PK27" t="e">
            <v>#N/A</v>
          </cell>
          <cell r="PL27" t="e">
            <v>#N/A</v>
          </cell>
          <cell r="PO27">
            <v>24</v>
          </cell>
          <cell r="PP27">
            <v>242411</v>
          </cell>
          <cell r="PS27">
            <v>11</v>
          </cell>
          <cell r="PT27" t="str">
            <v/>
          </cell>
          <cell r="PW27">
            <v>1</v>
          </cell>
          <cell r="PX27" t="str">
            <v/>
          </cell>
          <cell r="QA27" t="e">
            <v>#N/A</v>
          </cell>
          <cell r="QB27" t="e">
            <v>#N/A</v>
          </cell>
          <cell r="QE27" t="e">
            <v>#N/A</v>
          </cell>
          <cell r="QF27" t="e">
            <v>#N/A</v>
          </cell>
          <cell r="QI27" t="e">
            <v>#N/A</v>
          </cell>
          <cell r="QJ27" t="e">
            <v>#N/A</v>
          </cell>
          <cell r="QR27">
            <v>22</v>
          </cell>
          <cell r="QS27" t="str">
            <v/>
          </cell>
          <cell r="QV27">
            <v>24</v>
          </cell>
          <cell r="QW27" t="str">
            <v>Scrap of MS (extracted from equip cage and empty Sf6 gas cylinder)</v>
          </cell>
          <cell r="QZ27">
            <v>24</v>
          </cell>
          <cell r="RA27">
            <v>67000</v>
          </cell>
          <cell r="RD27">
            <v>4</v>
          </cell>
          <cell r="RE27" t="str">
            <v/>
          </cell>
          <cell r="RH27">
            <v>3</v>
          </cell>
          <cell r="RI27" t="str">
            <v/>
          </cell>
          <cell r="RL27">
            <v>24</v>
          </cell>
          <cell r="RM27">
            <v>2036</v>
          </cell>
          <cell r="RP27">
            <v>13</v>
          </cell>
          <cell r="RQ27" t="str">
            <v/>
          </cell>
          <cell r="RT27">
            <v>24</v>
          </cell>
          <cell r="RU27">
            <v>210001</v>
          </cell>
          <cell r="RX27">
            <v>24</v>
          </cell>
          <cell r="RY27">
            <v>37800</v>
          </cell>
          <cell r="SB27">
            <v>24</v>
          </cell>
          <cell r="SC27">
            <v>247801</v>
          </cell>
          <cell r="SF27">
            <v>24</v>
          </cell>
          <cell r="SG27">
            <v>4956</v>
          </cell>
          <cell r="SJ27">
            <v>24</v>
          </cell>
          <cell r="SK27">
            <v>210.001</v>
          </cell>
          <cell r="SN27">
            <v>24</v>
          </cell>
          <cell r="SO27">
            <v>5575.5265499999996</v>
          </cell>
          <cell r="SR27">
            <v>24</v>
          </cell>
          <cell r="SS27">
            <v>94.500450000000001</v>
          </cell>
          <cell r="SV27">
            <v>24</v>
          </cell>
          <cell r="SW27">
            <v>5481.0260999999991</v>
          </cell>
          <cell r="SZ27">
            <v>24</v>
          </cell>
          <cell r="TA27">
            <v>5691</v>
          </cell>
          <cell r="TD27">
            <v>2</v>
          </cell>
          <cell r="TE27" t="str">
            <v/>
          </cell>
          <cell r="TH27">
            <v>5</v>
          </cell>
          <cell r="TI27" t="str">
            <v/>
          </cell>
          <cell r="TL27">
            <v>24</v>
          </cell>
          <cell r="TM27">
            <v>247066</v>
          </cell>
          <cell r="TP27">
            <v>24</v>
          </cell>
          <cell r="TQ27">
            <v>52500</v>
          </cell>
          <cell r="TT27">
            <v>24</v>
          </cell>
          <cell r="TU27">
            <v>52500</v>
          </cell>
          <cell r="TX27">
            <v>6</v>
          </cell>
          <cell r="TY27" t="str">
            <v/>
          </cell>
          <cell r="UB27">
            <v>24</v>
          </cell>
          <cell r="UC27">
            <v>194566</v>
          </cell>
          <cell r="UF27" t="e">
            <v>#N/A</v>
          </cell>
          <cell r="UG27" t="e">
            <v>#N/A</v>
          </cell>
          <cell r="UJ27" t="e">
            <v>#N/A</v>
          </cell>
          <cell r="UK27" t="e">
            <v>#N/A</v>
          </cell>
          <cell r="UN27">
            <v>24</v>
          </cell>
          <cell r="UO27">
            <v>7434.0353999999988</v>
          </cell>
          <cell r="UR27" t="e">
            <v>#N/A</v>
          </cell>
          <cell r="US27" t="e">
            <v>#N/A</v>
          </cell>
          <cell r="UV27" t="e">
            <v>#N/A</v>
          </cell>
          <cell r="UW27" t="e">
            <v>#N/A</v>
          </cell>
          <cell r="UZ27">
            <v>24</v>
          </cell>
          <cell r="VA27">
            <v>242411</v>
          </cell>
          <cell r="VD27">
            <v>11</v>
          </cell>
          <cell r="VE27" t="str">
            <v/>
          </cell>
          <cell r="VH27" t="e">
            <v>#N/A</v>
          </cell>
          <cell r="VI27" t="e">
            <v>#N/A</v>
          </cell>
          <cell r="VL27" t="e">
            <v>#N/A</v>
          </cell>
          <cell r="VM27" t="e">
            <v>#N/A</v>
          </cell>
          <cell r="VP27" t="e">
            <v>#N/A</v>
          </cell>
          <cell r="VQ27" t="e">
            <v>#N/A</v>
          </cell>
          <cell r="VT27" t="e">
            <v>#N/A</v>
          </cell>
          <cell r="VU27" t="e">
            <v>#N/A</v>
          </cell>
        </row>
        <row r="28">
          <cell r="A28" t="str">
            <v>+ 2037</v>
          </cell>
          <cell r="I28">
            <v>25</v>
          </cell>
          <cell r="J28" t="str">
            <v>+ 25</v>
          </cell>
          <cell r="GA28">
            <v>0</v>
          </cell>
          <cell r="GB28" t="str">
            <v/>
          </cell>
          <cell r="GE28">
            <v>0</v>
          </cell>
          <cell r="GF28" t="str">
            <v/>
          </cell>
          <cell r="GI28">
            <v>13</v>
          </cell>
          <cell r="GJ28" t="str">
            <v/>
          </cell>
          <cell r="GM28">
            <v>0</v>
          </cell>
          <cell r="GN28" t="str">
            <v/>
          </cell>
          <cell r="GQ28">
            <v>0</v>
          </cell>
          <cell r="GR28" t="str">
            <v/>
          </cell>
          <cell r="GU28">
            <v>0</v>
          </cell>
          <cell r="GV28" t="str">
            <v/>
          </cell>
          <cell r="GY28">
            <v>0</v>
          </cell>
          <cell r="GZ28" t="str">
            <v/>
          </cell>
          <cell r="HC28">
            <v>0</v>
          </cell>
          <cell r="HD28" t="str">
            <v/>
          </cell>
          <cell r="HG28">
            <v>0</v>
          </cell>
          <cell r="HH28" t="str">
            <v/>
          </cell>
          <cell r="HK28">
            <v>0</v>
          </cell>
          <cell r="HL28" t="str">
            <v/>
          </cell>
          <cell r="HO28">
            <v>0</v>
          </cell>
          <cell r="HP28" t="str">
            <v/>
          </cell>
          <cell r="HS28">
            <v>0</v>
          </cell>
          <cell r="HT28" t="str">
            <v/>
          </cell>
          <cell r="HW28">
            <v>0</v>
          </cell>
          <cell r="HX28" t="str">
            <v/>
          </cell>
          <cell r="IA28">
            <v>0</v>
          </cell>
          <cell r="IB28" t="str">
            <v/>
          </cell>
          <cell r="IE28">
            <v>0</v>
          </cell>
          <cell r="IF28" t="str">
            <v/>
          </cell>
          <cell r="II28">
            <v>0</v>
          </cell>
          <cell r="IJ28" t="str">
            <v/>
          </cell>
          <cell r="IM28">
            <v>0</v>
          </cell>
          <cell r="IN28" t="str">
            <v/>
          </cell>
          <cell r="IQ28">
            <v>0</v>
          </cell>
          <cell r="IR28" t="str">
            <v/>
          </cell>
          <cell r="IU28">
            <v>0</v>
          </cell>
          <cell r="IV28" t="str">
            <v/>
          </cell>
          <cell r="IY28">
            <v>0</v>
          </cell>
          <cell r="IZ28" t="str">
            <v/>
          </cell>
          <cell r="JC28">
            <v>0</v>
          </cell>
          <cell r="JD28" t="str">
            <v/>
          </cell>
          <cell r="JG28">
            <v>0</v>
          </cell>
          <cell r="JH28" t="str">
            <v/>
          </cell>
          <cell r="JK28">
            <v>0</v>
          </cell>
          <cell r="JL28" t="str">
            <v/>
          </cell>
          <cell r="JO28" t="e">
            <v>#N/A</v>
          </cell>
          <cell r="JP28" t="e">
            <v>#N/A</v>
          </cell>
          <cell r="JS28" t="e">
            <v>#N/A</v>
          </cell>
          <cell r="JT28" t="e">
            <v>#N/A</v>
          </cell>
          <cell r="JW28">
            <v>0</v>
          </cell>
          <cell r="JX28" t="str">
            <v/>
          </cell>
          <cell r="KA28" t="e">
            <v>#N/A</v>
          </cell>
          <cell r="KB28" t="e">
            <v>#N/A</v>
          </cell>
          <cell r="KE28" t="e">
            <v>#N/A</v>
          </cell>
          <cell r="KF28" t="e">
            <v>#N/A</v>
          </cell>
          <cell r="KI28">
            <v>0</v>
          </cell>
          <cell r="KJ28" t="str">
            <v/>
          </cell>
          <cell r="KM28">
            <v>0</v>
          </cell>
          <cell r="KN28" t="str">
            <v/>
          </cell>
          <cell r="KQ28">
            <v>0</v>
          </cell>
          <cell r="KR28" t="str">
            <v/>
          </cell>
          <cell r="KU28" t="e">
            <v>#N/A</v>
          </cell>
          <cell r="KV28" t="e">
            <v>#N/A</v>
          </cell>
          <cell r="KY28" t="e">
            <v>#N/A</v>
          </cell>
          <cell r="KZ28" t="e">
            <v>#N/A</v>
          </cell>
          <cell r="LC28" t="e">
            <v>#N/A</v>
          </cell>
          <cell r="LD28" t="e">
            <v>#N/A</v>
          </cell>
          <cell r="LG28">
            <v>25</v>
          </cell>
          <cell r="LH28">
            <v>2037</v>
          </cell>
          <cell r="LK28">
            <v>13</v>
          </cell>
          <cell r="LL28" t="str">
            <v/>
          </cell>
          <cell r="LO28">
            <v>25</v>
          </cell>
          <cell r="LP28" t="str">
            <v>Scrap Power Transformer</v>
          </cell>
          <cell r="LS28">
            <v>4</v>
          </cell>
          <cell r="LT28" t="str">
            <v/>
          </cell>
          <cell r="LW28">
            <v>22</v>
          </cell>
          <cell r="LX28" t="str">
            <v/>
          </cell>
          <cell r="MA28">
            <v>3</v>
          </cell>
          <cell r="MB28" t="str">
            <v/>
          </cell>
          <cell r="ME28">
            <v>25</v>
          </cell>
          <cell r="MF28">
            <v>70001</v>
          </cell>
          <cell r="MI28">
            <v>25</v>
          </cell>
          <cell r="MJ28">
            <v>210003</v>
          </cell>
          <cell r="MM28">
            <v>25</v>
          </cell>
          <cell r="MN28">
            <v>37801</v>
          </cell>
          <cell r="MQ28">
            <v>25</v>
          </cell>
          <cell r="MR28">
            <v>247804</v>
          </cell>
          <cell r="MU28">
            <v>25</v>
          </cell>
          <cell r="MV28">
            <v>5192</v>
          </cell>
          <cell r="MY28">
            <v>25</v>
          </cell>
          <cell r="MZ28">
            <v>210.00300000000001</v>
          </cell>
          <cell r="NC28">
            <v>25</v>
          </cell>
          <cell r="ND28">
            <v>5575.5796499999997</v>
          </cell>
          <cell r="NG28">
            <v>25</v>
          </cell>
          <cell r="NH28">
            <v>94.501350000000002</v>
          </cell>
          <cell r="NK28">
            <v>25</v>
          </cell>
          <cell r="NL28">
            <v>5481.0782999999992</v>
          </cell>
          <cell r="NO28">
            <v>25</v>
          </cell>
          <cell r="NP28">
            <v>5962</v>
          </cell>
          <cell r="NS28">
            <v>2</v>
          </cell>
          <cell r="NT28" t="str">
            <v/>
          </cell>
          <cell r="NW28">
            <v>5</v>
          </cell>
          <cell r="NX28" t="str">
            <v/>
          </cell>
          <cell r="OA28">
            <v>25</v>
          </cell>
          <cell r="OB28">
            <v>247069</v>
          </cell>
          <cell r="OE28">
            <v>25</v>
          </cell>
          <cell r="OF28">
            <v>52501</v>
          </cell>
          <cell r="OI28">
            <v>25</v>
          </cell>
          <cell r="OJ28">
            <v>52501</v>
          </cell>
          <cell r="OM28">
            <v>6</v>
          </cell>
          <cell r="ON28" t="str">
            <v/>
          </cell>
          <cell r="OQ28">
            <v>25</v>
          </cell>
          <cell r="OR28">
            <v>194568</v>
          </cell>
          <cell r="OU28" t="e">
            <v>#N/A</v>
          </cell>
          <cell r="OV28" t="e">
            <v>#N/A</v>
          </cell>
          <cell r="OY28" t="e">
            <v>#N/A</v>
          </cell>
          <cell r="OZ28" t="e">
            <v>#N/A</v>
          </cell>
          <cell r="PC28">
            <v>25</v>
          </cell>
          <cell r="PD28">
            <v>7434.1061999999993</v>
          </cell>
          <cell r="PG28" t="e">
            <v>#N/A</v>
          </cell>
          <cell r="PH28" t="e">
            <v>#N/A</v>
          </cell>
          <cell r="PK28" t="e">
            <v>#N/A</v>
          </cell>
          <cell r="PL28" t="e">
            <v>#N/A</v>
          </cell>
          <cell r="PO28">
            <v>25</v>
          </cell>
          <cell r="PP28">
            <v>243570</v>
          </cell>
          <cell r="PS28">
            <v>11</v>
          </cell>
          <cell r="PT28" t="str">
            <v/>
          </cell>
          <cell r="PW28">
            <v>1</v>
          </cell>
          <cell r="PX28" t="str">
            <v/>
          </cell>
          <cell r="QA28" t="e">
            <v>#N/A</v>
          </cell>
          <cell r="QB28" t="e">
            <v>#N/A</v>
          </cell>
          <cell r="QE28" t="e">
            <v>#N/A</v>
          </cell>
          <cell r="QF28" t="e">
            <v>#N/A</v>
          </cell>
          <cell r="QI28" t="e">
            <v>#N/A</v>
          </cell>
          <cell r="QJ28" t="e">
            <v>#N/A</v>
          </cell>
          <cell r="QR28">
            <v>22</v>
          </cell>
          <cell r="QS28" t="str">
            <v/>
          </cell>
          <cell r="QV28">
            <v>25</v>
          </cell>
          <cell r="QW28" t="str">
            <v>Scrap Power Transformer</v>
          </cell>
          <cell r="QZ28">
            <v>25</v>
          </cell>
          <cell r="RA28">
            <v>70001</v>
          </cell>
          <cell r="RD28">
            <v>4</v>
          </cell>
          <cell r="RE28" t="str">
            <v/>
          </cell>
          <cell r="RH28">
            <v>3</v>
          </cell>
          <cell r="RI28" t="str">
            <v/>
          </cell>
          <cell r="RL28">
            <v>25</v>
          </cell>
          <cell r="RM28">
            <v>2037</v>
          </cell>
          <cell r="RP28">
            <v>13</v>
          </cell>
          <cell r="RQ28" t="str">
            <v/>
          </cell>
          <cell r="RT28">
            <v>25</v>
          </cell>
          <cell r="RU28">
            <v>210003</v>
          </cell>
          <cell r="RX28">
            <v>25</v>
          </cell>
          <cell r="RY28">
            <v>37801</v>
          </cell>
          <cell r="SB28">
            <v>25</v>
          </cell>
          <cell r="SC28">
            <v>247804</v>
          </cell>
          <cell r="SF28">
            <v>25</v>
          </cell>
          <cell r="SG28">
            <v>5192</v>
          </cell>
          <cell r="SJ28">
            <v>25</v>
          </cell>
          <cell r="SK28">
            <v>210.00300000000001</v>
          </cell>
          <cell r="SN28">
            <v>25</v>
          </cell>
          <cell r="SO28">
            <v>5575.5796499999997</v>
          </cell>
          <cell r="SR28">
            <v>25</v>
          </cell>
          <cell r="SS28">
            <v>94.501350000000002</v>
          </cell>
          <cell r="SV28">
            <v>25</v>
          </cell>
          <cell r="SW28">
            <v>5481.0782999999992</v>
          </cell>
          <cell r="SZ28">
            <v>25</v>
          </cell>
          <cell r="TA28">
            <v>5962</v>
          </cell>
          <cell r="TD28">
            <v>2</v>
          </cell>
          <cell r="TE28" t="str">
            <v/>
          </cell>
          <cell r="TH28">
            <v>5</v>
          </cell>
          <cell r="TI28" t="str">
            <v/>
          </cell>
          <cell r="TL28">
            <v>25</v>
          </cell>
          <cell r="TM28">
            <v>247069</v>
          </cell>
          <cell r="TP28">
            <v>25</v>
          </cell>
          <cell r="TQ28">
            <v>52501</v>
          </cell>
          <cell r="TT28">
            <v>25</v>
          </cell>
          <cell r="TU28">
            <v>52501</v>
          </cell>
          <cell r="TX28">
            <v>6</v>
          </cell>
          <cell r="TY28" t="str">
            <v/>
          </cell>
          <cell r="UB28">
            <v>25</v>
          </cell>
          <cell r="UC28">
            <v>194568</v>
          </cell>
          <cell r="UF28" t="e">
            <v>#N/A</v>
          </cell>
          <cell r="UG28" t="e">
            <v>#N/A</v>
          </cell>
          <cell r="UJ28" t="e">
            <v>#N/A</v>
          </cell>
          <cell r="UK28" t="e">
            <v>#N/A</v>
          </cell>
          <cell r="UN28">
            <v>25</v>
          </cell>
          <cell r="UO28">
            <v>7434.1061999999993</v>
          </cell>
          <cell r="UR28" t="e">
            <v>#N/A</v>
          </cell>
          <cell r="US28" t="e">
            <v>#N/A</v>
          </cell>
          <cell r="UV28" t="e">
            <v>#N/A</v>
          </cell>
          <cell r="UW28" t="e">
            <v>#N/A</v>
          </cell>
          <cell r="UZ28">
            <v>25</v>
          </cell>
          <cell r="VA28">
            <v>243570</v>
          </cell>
          <cell r="VD28">
            <v>11</v>
          </cell>
          <cell r="VE28" t="str">
            <v/>
          </cell>
          <cell r="VH28" t="e">
            <v>#N/A</v>
          </cell>
          <cell r="VI28" t="e">
            <v>#N/A</v>
          </cell>
          <cell r="VL28" t="e">
            <v>#N/A</v>
          </cell>
          <cell r="VM28" t="e">
            <v>#N/A</v>
          </cell>
          <cell r="VP28" t="e">
            <v>#N/A</v>
          </cell>
          <cell r="VQ28" t="e">
            <v>#N/A</v>
          </cell>
          <cell r="VT28" t="e">
            <v>#N/A</v>
          </cell>
          <cell r="VU28" t="e">
            <v>#N/A</v>
          </cell>
        </row>
        <row r="29">
          <cell r="A29" t="str">
            <v>+ 2040</v>
          </cell>
          <cell r="I29">
            <v>26</v>
          </cell>
          <cell r="J29" t="str">
            <v>+ 26</v>
          </cell>
          <cell r="GA29">
            <v>0</v>
          </cell>
          <cell r="GB29" t="str">
            <v/>
          </cell>
          <cell r="GE29">
            <v>0</v>
          </cell>
          <cell r="GF29" t="str">
            <v/>
          </cell>
          <cell r="GI29">
            <v>13</v>
          </cell>
          <cell r="GJ29" t="str">
            <v/>
          </cell>
          <cell r="GM29">
            <v>0</v>
          </cell>
          <cell r="GN29" t="str">
            <v/>
          </cell>
          <cell r="GQ29">
            <v>0</v>
          </cell>
          <cell r="GR29" t="str">
            <v/>
          </cell>
          <cell r="GU29">
            <v>0</v>
          </cell>
          <cell r="GV29" t="str">
            <v/>
          </cell>
          <cell r="GY29">
            <v>0</v>
          </cell>
          <cell r="GZ29" t="str">
            <v/>
          </cell>
          <cell r="HC29">
            <v>0</v>
          </cell>
          <cell r="HD29" t="str">
            <v/>
          </cell>
          <cell r="HG29">
            <v>0</v>
          </cell>
          <cell r="HH29" t="str">
            <v/>
          </cell>
          <cell r="HK29">
            <v>0</v>
          </cell>
          <cell r="HL29" t="str">
            <v/>
          </cell>
          <cell r="HO29">
            <v>0</v>
          </cell>
          <cell r="HP29" t="str">
            <v/>
          </cell>
          <cell r="HS29">
            <v>0</v>
          </cell>
          <cell r="HT29" t="str">
            <v/>
          </cell>
          <cell r="HW29">
            <v>0</v>
          </cell>
          <cell r="HX29" t="str">
            <v/>
          </cell>
          <cell r="IA29">
            <v>0</v>
          </cell>
          <cell r="IB29" t="str">
            <v/>
          </cell>
          <cell r="IE29">
            <v>0</v>
          </cell>
          <cell r="IF29" t="str">
            <v/>
          </cell>
          <cell r="II29">
            <v>0</v>
          </cell>
          <cell r="IJ29" t="str">
            <v/>
          </cell>
          <cell r="IM29">
            <v>0</v>
          </cell>
          <cell r="IN29" t="str">
            <v/>
          </cell>
          <cell r="IQ29">
            <v>0</v>
          </cell>
          <cell r="IR29" t="str">
            <v/>
          </cell>
          <cell r="IU29">
            <v>0</v>
          </cell>
          <cell r="IV29" t="str">
            <v/>
          </cell>
          <cell r="IY29">
            <v>0</v>
          </cell>
          <cell r="IZ29" t="str">
            <v/>
          </cell>
          <cell r="JC29">
            <v>0</v>
          </cell>
          <cell r="JD29" t="str">
            <v/>
          </cell>
          <cell r="JG29">
            <v>0</v>
          </cell>
          <cell r="JH29" t="str">
            <v/>
          </cell>
          <cell r="JK29">
            <v>0</v>
          </cell>
          <cell r="JL29" t="str">
            <v/>
          </cell>
          <cell r="JO29" t="e">
            <v>#N/A</v>
          </cell>
          <cell r="JP29" t="e">
            <v>#N/A</v>
          </cell>
          <cell r="JS29" t="e">
            <v>#N/A</v>
          </cell>
          <cell r="JT29" t="e">
            <v>#N/A</v>
          </cell>
          <cell r="JW29">
            <v>0</v>
          </cell>
          <cell r="JX29" t="str">
            <v/>
          </cell>
          <cell r="KA29" t="e">
            <v>#N/A</v>
          </cell>
          <cell r="KB29" t="e">
            <v>#N/A</v>
          </cell>
          <cell r="KE29" t="e">
            <v>#N/A</v>
          </cell>
          <cell r="KF29" t="e">
            <v>#N/A</v>
          </cell>
          <cell r="KI29">
            <v>0</v>
          </cell>
          <cell r="KJ29" t="str">
            <v/>
          </cell>
          <cell r="KM29">
            <v>0</v>
          </cell>
          <cell r="KN29" t="str">
            <v/>
          </cell>
          <cell r="KQ29">
            <v>0</v>
          </cell>
          <cell r="KR29" t="str">
            <v/>
          </cell>
          <cell r="KU29" t="e">
            <v>#N/A</v>
          </cell>
          <cell r="KV29" t="e">
            <v>#N/A</v>
          </cell>
          <cell r="KY29" t="e">
            <v>#N/A</v>
          </cell>
          <cell r="KZ29" t="e">
            <v>#N/A</v>
          </cell>
          <cell r="LC29" t="e">
            <v>#N/A</v>
          </cell>
          <cell r="LD29" t="e">
            <v>#N/A</v>
          </cell>
          <cell r="LG29">
            <v>26</v>
          </cell>
          <cell r="LH29">
            <v>2040</v>
          </cell>
          <cell r="LK29">
            <v>13</v>
          </cell>
          <cell r="LL29" t="str">
            <v/>
          </cell>
          <cell r="LO29">
            <v>25</v>
          </cell>
          <cell r="LP29" t="str">
            <v/>
          </cell>
          <cell r="LS29">
            <v>4</v>
          </cell>
          <cell r="LT29" t="str">
            <v/>
          </cell>
          <cell r="LW29">
            <v>22</v>
          </cell>
          <cell r="LX29" t="str">
            <v/>
          </cell>
          <cell r="MA29">
            <v>3</v>
          </cell>
          <cell r="MB29" t="str">
            <v/>
          </cell>
          <cell r="ME29">
            <v>26</v>
          </cell>
          <cell r="MF29">
            <v>70006</v>
          </cell>
          <cell r="MI29">
            <v>26</v>
          </cell>
          <cell r="MJ29">
            <v>220001</v>
          </cell>
          <cell r="MM29">
            <v>26</v>
          </cell>
          <cell r="MN29">
            <v>39600</v>
          </cell>
          <cell r="MQ29">
            <v>26</v>
          </cell>
          <cell r="MR29">
            <v>259601</v>
          </cell>
          <cell r="MU29">
            <v>26</v>
          </cell>
          <cell r="MV29">
            <v>5929</v>
          </cell>
          <cell r="MY29">
            <v>26</v>
          </cell>
          <cell r="MZ29">
            <v>220.001</v>
          </cell>
          <cell r="NC29">
            <v>26</v>
          </cell>
          <cell r="ND29">
            <v>5841.0265499999996</v>
          </cell>
          <cell r="NG29">
            <v>26</v>
          </cell>
          <cell r="NH29">
            <v>99.000450000000001</v>
          </cell>
          <cell r="NK29">
            <v>26</v>
          </cell>
          <cell r="NL29">
            <v>5742.0260999999991</v>
          </cell>
          <cell r="NO29">
            <v>26</v>
          </cell>
          <cell r="NP29">
            <v>6808</v>
          </cell>
          <cell r="NS29">
            <v>2</v>
          </cell>
          <cell r="NT29" t="str">
            <v/>
          </cell>
          <cell r="NW29">
            <v>5</v>
          </cell>
          <cell r="NX29" t="str">
            <v/>
          </cell>
          <cell r="OA29">
            <v>26</v>
          </cell>
          <cell r="OB29">
            <v>258831</v>
          </cell>
          <cell r="OE29">
            <v>26</v>
          </cell>
          <cell r="OF29">
            <v>55000</v>
          </cell>
          <cell r="OI29">
            <v>26</v>
          </cell>
          <cell r="OJ29">
            <v>55000</v>
          </cell>
          <cell r="OM29">
            <v>6</v>
          </cell>
          <cell r="ON29" t="str">
            <v/>
          </cell>
          <cell r="OQ29">
            <v>26</v>
          </cell>
          <cell r="OR29">
            <v>203831</v>
          </cell>
          <cell r="OU29" t="e">
            <v>#N/A</v>
          </cell>
          <cell r="OV29" t="e">
            <v>#N/A</v>
          </cell>
          <cell r="OY29" t="e">
            <v>#N/A</v>
          </cell>
          <cell r="OZ29" t="e">
            <v>#N/A</v>
          </cell>
          <cell r="PC29">
            <v>26</v>
          </cell>
          <cell r="PD29">
            <v>7788.0353999999988</v>
          </cell>
          <cell r="PG29" t="e">
            <v>#N/A</v>
          </cell>
          <cell r="PH29" t="e">
            <v>#N/A</v>
          </cell>
          <cell r="PK29" t="e">
            <v>#N/A</v>
          </cell>
          <cell r="PL29" t="e">
            <v>#N/A</v>
          </cell>
          <cell r="PO29">
            <v>26</v>
          </cell>
          <cell r="PP29">
            <v>247066</v>
          </cell>
          <cell r="PS29">
            <v>11</v>
          </cell>
          <cell r="PT29" t="str">
            <v/>
          </cell>
          <cell r="PW29">
            <v>1</v>
          </cell>
          <cell r="PX29" t="str">
            <v/>
          </cell>
          <cell r="QA29" t="e">
            <v>#N/A</v>
          </cell>
          <cell r="QB29" t="e">
            <v>#N/A</v>
          </cell>
          <cell r="QE29" t="e">
            <v>#N/A</v>
          </cell>
          <cell r="QF29" t="e">
            <v>#N/A</v>
          </cell>
          <cell r="QI29" t="e">
            <v>#N/A</v>
          </cell>
          <cell r="QJ29" t="e">
            <v>#N/A</v>
          </cell>
          <cell r="QR29">
            <v>22</v>
          </cell>
          <cell r="QS29" t="str">
            <v/>
          </cell>
          <cell r="QV29">
            <v>25</v>
          </cell>
          <cell r="QW29" t="str">
            <v/>
          </cell>
          <cell r="QZ29">
            <v>26</v>
          </cell>
          <cell r="RA29">
            <v>70006</v>
          </cell>
          <cell r="RD29">
            <v>4</v>
          </cell>
          <cell r="RE29" t="str">
            <v/>
          </cell>
          <cell r="RH29">
            <v>3</v>
          </cell>
          <cell r="RI29" t="str">
            <v/>
          </cell>
          <cell r="RL29">
            <v>26</v>
          </cell>
          <cell r="RM29">
            <v>2040</v>
          </cell>
          <cell r="RP29">
            <v>13</v>
          </cell>
          <cell r="RQ29" t="str">
            <v/>
          </cell>
          <cell r="RT29">
            <v>26</v>
          </cell>
          <cell r="RU29">
            <v>220001</v>
          </cell>
          <cell r="RX29">
            <v>26</v>
          </cell>
          <cell r="RY29">
            <v>39600</v>
          </cell>
          <cell r="SB29">
            <v>26</v>
          </cell>
          <cell r="SC29">
            <v>259601</v>
          </cell>
          <cell r="SF29">
            <v>26</v>
          </cell>
          <cell r="SG29">
            <v>5929</v>
          </cell>
          <cell r="SJ29">
            <v>26</v>
          </cell>
          <cell r="SK29">
            <v>220.001</v>
          </cell>
          <cell r="SN29">
            <v>26</v>
          </cell>
          <cell r="SO29">
            <v>5841.0265499999996</v>
          </cell>
          <cell r="SR29">
            <v>26</v>
          </cell>
          <cell r="SS29">
            <v>99.000450000000001</v>
          </cell>
          <cell r="SV29">
            <v>26</v>
          </cell>
          <cell r="SW29">
            <v>5742.0260999999991</v>
          </cell>
          <cell r="SZ29">
            <v>26</v>
          </cell>
          <cell r="TA29">
            <v>6808</v>
          </cell>
          <cell r="TD29">
            <v>2</v>
          </cell>
          <cell r="TE29" t="str">
            <v/>
          </cell>
          <cell r="TH29">
            <v>5</v>
          </cell>
          <cell r="TI29" t="str">
            <v/>
          </cell>
          <cell r="TL29">
            <v>26</v>
          </cell>
          <cell r="TM29">
            <v>258831</v>
          </cell>
          <cell r="TP29">
            <v>26</v>
          </cell>
          <cell r="TQ29">
            <v>55000</v>
          </cell>
          <cell r="TT29">
            <v>26</v>
          </cell>
          <cell r="TU29">
            <v>55000</v>
          </cell>
          <cell r="TX29">
            <v>6</v>
          </cell>
          <cell r="TY29" t="str">
            <v/>
          </cell>
          <cell r="UB29">
            <v>26</v>
          </cell>
          <cell r="UC29">
            <v>203831</v>
          </cell>
          <cell r="UF29" t="e">
            <v>#N/A</v>
          </cell>
          <cell r="UG29" t="e">
            <v>#N/A</v>
          </cell>
          <cell r="UJ29" t="e">
            <v>#N/A</v>
          </cell>
          <cell r="UK29" t="e">
            <v>#N/A</v>
          </cell>
          <cell r="UN29">
            <v>26</v>
          </cell>
          <cell r="UO29">
            <v>7788.0353999999988</v>
          </cell>
          <cell r="UR29" t="e">
            <v>#N/A</v>
          </cell>
          <cell r="US29" t="e">
            <v>#N/A</v>
          </cell>
          <cell r="UV29" t="e">
            <v>#N/A</v>
          </cell>
          <cell r="UW29" t="e">
            <v>#N/A</v>
          </cell>
          <cell r="UZ29">
            <v>26</v>
          </cell>
          <cell r="VA29">
            <v>247066</v>
          </cell>
          <cell r="VD29">
            <v>11</v>
          </cell>
          <cell r="VE29" t="str">
            <v/>
          </cell>
          <cell r="VH29" t="e">
            <v>#N/A</v>
          </cell>
          <cell r="VI29" t="e">
            <v>#N/A</v>
          </cell>
          <cell r="VL29" t="e">
            <v>#N/A</v>
          </cell>
          <cell r="VM29" t="e">
            <v>#N/A</v>
          </cell>
          <cell r="VP29" t="e">
            <v>#N/A</v>
          </cell>
          <cell r="VQ29" t="e">
            <v>#N/A</v>
          </cell>
          <cell r="VT29" t="e">
            <v>#N/A</v>
          </cell>
          <cell r="VU29" t="e">
            <v>#N/A</v>
          </cell>
        </row>
        <row r="30">
          <cell r="A30" t="str">
            <v>+ 2043</v>
          </cell>
          <cell r="I30">
            <v>27</v>
          </cell>
          <cell r="J30" t="str">
            <v>+ 27</v>
          </cell>
          <cell r="GA30">
            <v>0</v>
          </cell>
          <cell r="GB30" t="str">
            <v/>
          </cell>
          <cell r="GE30">
            <v>0</v>
          </cell>
          <cell r="GF30" t="str">
            <v/>
          </cell>
          <cell r="GI30">
            <v>13</v>
          </cell>
          <cell r="GJ30" t="str">
            <v/>
          </cell>
          <cell r="GM30">
            <v>0</v>
          </cell>
          <cell r="GN30" t="str">
            <v/>
          </cell>
          <cell r="GQ30">
            <v>0</v>
          </cell>
          <cell r="GR30" t="str">
            <v/>
          </cell>
          <cell r="GU30">
            <v>0</v>
          </cell>
          <cell r="GV30" t="str">
            <v/>
          </cell>
          <cell r="GY30">
            <v>0</v>
          </cell>
          <cell r="GZ30" t="str">
            <v/>
          </cell>
          <cell r="HC30">
            <v>0</v>
          </cell>
          <cell r="HD30" t="str">
            <v/>
          </cell>
          <cell r="HG30">
            <v>0</v>
          </cell>
          <cell r="HH30" t="str">
            <v/>
          </cell>
          <cell r="HK30">
            <v>0</v>
          </cell>
          <cell r="HL30" t="str">
            <v/>
          </cell>
          <cell r="HO30">
            <v>0</v>
          </cell>
          <cell r="HP30" t="str">
            <v/>
          </cell>
          <cell r="HS30">
            <v>0</v>
          </cell>
          <cell r="HT30" t="str">
            <v/>
          </cell>
          <cell r="HW30">
            <v>0</v>
          </cell>
          <cell r="HX30" t="str">
            <v/>
          </cell>
          <cell r="IA30">
            <v>0</v>
          </cell>
          <cell r="IB30" t="str">
            <v/>
          </cell>
          <cell r="IE30">
            <v>0</v>
          </cell>
          <cell r="IF30" t="str">
            <v/>
          </cell>
          <cell r="II30">
            <v>0</v>
          </cell>
          <cell r="IJ30" t="str">
            <v/>
          </cell>
          <cell r="IM30">
            <v>0</v>
          </cell>
          <cell r="IN30" t="str">
            <v/>
          </cell>
          <cell r="IQ30">
            <v>0</v>
          </cell>
          <cell r="IR30" t="str">
            <v/>
          </cell>
          <cell r="IU30">
            <v>0</v>
          </cell>
          <cell r="IV30" t="str">
            <v/>
          </cell>
          <cell r="IY30">
            <v>0</v>
          </cell>
          <cell r="IZ30" t="str">
            <v/>
          </cell>
          <cell r="JC30">
            <v>0</v>
          </cell>
          <cell r="JD30" t="str">
            <v/>
          </cell>
          <cell r="JG30">
            <v>0</v>
          </cell>
          <cell r="JH30" t="str">
            <v/>
          </cell>
          <cell r="JK30">
            <v>0</v>
          </cell>
          <cell r="JL30" t="str">
            <v/>
          </cell>
          <cell r="JO30" t="e">
            <v>#N/A</v>
          </cell>
          <cell r="JP30" t="e">
            <v>#N/A</v>
          </cell>
          <cell r="JS30" t="e">
            <v>#N/A</v>
          </cell>
          <cell r="JT30" t="e">
            <v>#N/A</v>
          </cell>
          <cell r="JW30">
            <v>0</v>
          </cell>
          <cell r="JX30" t="str">
            <v/>
          </cell>
          <cell r="KA30" t="e">
            <v>#N/A</v>
          </cell>
          <cell r="KB30" t="e">
            <v>#N/A</v>
          </cell>
          <cell r="KE30" t="e">
            <v>#N/A</v>
          </cell>
          <cell r="KF30" t="e">
            <v>#N/A</v>
          </cell>
          <cell r="KI30">
            <v>0</v>
          </cell>
          <cell r="KJ30" t="str">
            <v/>
          </cell>
          <cell r="KM30">
            <v>0</v>
          </cell>
          <cell r="KN30" t="str">
            <v/>
          </cell>
          <cell r="KQ30">
            <v>0</v>
          </cell>
          <cell r="KR30" t="str">
            <v/>
          </cell>
          <cell r="KU30" t="e">
            <v>#N/A</v>
          </cell>
          <cell r="KV30" t="e">
            <v>#N/A</v>
          </cell>
          <cell r="KY30" t="e">
            <v>#N/A</v>
          </cell>
          <cell r="KZ30" t="e">
            <v>#N/A</v>
          </cell>
          <cell r="LC30" t="e">
            <v>#N/A</v>
          </cell>
          <cell r="LD30" t="e">
            <v>#N/A</v>
          </cell>
          <cell r="LG30">
            <v>27</v>
          </cell>
          <cell r="LH30">
            <v>2043</v>
          </cell>
          <cell r="LK30">
            <v>13</v>
          </cell>
          <cell r="LL30" t="str">
            <v/>
          </cell>
          <cell r="LO30">
            <v>25</v>
          </cell>
          <cell r="LP30" t="str">
            <v/>
          </cell>
          <cell r="LS30">
            <v>4</v>
          </cell>
          <cell r="LT30" t="str">
            <v/>
          </cell>
          <cell r="LW30">
            <v>22</v>
          </cell>
          <cell r="LX30" t="str">
            <v/>
          </cell>
          <cell r="MA30">
            <v>3</v>
          </cell>
          <cell r="MB30" t="str">
            <v/>
          </cell>
          <cell r="ME30">
            <v>27</v>
          </cell>
          <cell r="MF30">
            <v>80000</v>
          </cell>
          <cell r="MI30">
            <v>27</v>
          </cell>
          <cell r="MJ30">
            <v>251229</v>
          </cell>
          <cell r="MM30">
            <v>27</v>
          </cell>
          <cell r="MN30">
            <v>45221</v>
          </cell>
          <cell r="MQ30">
            <v>27</v>
          </cell>
          <cell r="MR30">
            <v>296450</v>
          </cell>
          <cell r="MU30">
            <v>27</v>
          </cell>
          <cell r="MV30">
            <v>6372</v>
          </cell>
          <cell r="MY30">
            <v>27</v>
          </cell>
          <cell r="MZ30">
            <v>251.22900000000001</v>
          </cell>
          <cell r="NC30">
            <v>27</v>
          </cell>
          <cell r="ND30">
            <v>6670.1299499999996</v>
          </cell>
          <cell r="NG30">
            <v>27</v>
          </cell>
          <cell r="NH30">
            <v>113.05305</v>
          </cell>
          <cell r="NK30">
            <v>27</v>
          </cell>
          <cell r="NL30">
            <v>6557.0768999999991</v>
          </cell>
          <cell r="NO30">
            <v>27</v>
          </cell>
          <cell r="NP30">
            <v>7317</v>
          </cell>
          <cell r="NS30">
            <v>2</v>
          </cell>
          <cell r="NT30" t="str">
            <v/>
          </cell>
          <cell r="NW30">
            <v>5</v>
          </cell>
          <cell r="NX30" t="str">
            <v/>
          </cell>
          <cell r="OA30">
            <v>27</v>
          </cell>
          <cell r="OB30">
            <v>295571</v>
          </cell>
          <cell r="OE30">
            <v>27</v>
          </cell>
          <cell r="OF30">
            <v>62807</v>
          </cell>
          <cell r="OI30">
            <v>27</v>
          </cell>
          <cell r="OJ30">
            <v>62807</v>
          </cell>
          <cell r="OM30">
            <v>6</v>
          </cell>
          <cell r="ON30" t="str">
            <v/>
          </cell>
          <cell r="OQ30">
            <v>27</v>
          </cell>
          <cell r="OR30">
            <v>232764</v>
          </cell>
          <cell r="OU30" t="e">
            <v>#N/A</v>
          </cell>
          <cell r="OV30" t="e">
            <v>#N/A</v>
          </cell>
          <cell r="OY30" t="e">
            <v>#N/A</v>
          </cell>
          <cell r="OZ30" t="e">
            <v>#N/A</v>
          </cell>
          <cell r="PC30">
            <v>27</v>
          </cell>
          <cell r="PD30">
            <v>8893.5066000000006</v>
          </cell>
          <cell r="PG30" t="e">
            <v>#N/A</v>
          </cell>
          <cell r="PH30" t="e">
            <v>#N/A</v>
          </cell>
          <cell r="PK30" t="e">
            <v>#N/A</v>
          </cell>
          <cell r="PL30" t="e">
            <v>#N/A</v>
          </cell>
          <cell r="PO30">
            <v>27</v>
          </cell>
          <cell r="PP30">
            <v>247069</v>
          </cell>
          <cell r="PS30">
            <v>11</v>
          </cell>
          <cell r="PT30" t="str">
            <v/>
          </cell>
          <cell r="PW30">
            <v>1</v>
          </cell>
          <cell r="PX30" t="str">
            <v/>
          </cell>
          <cell r="QA30" t="e">
            <v>#N/A</v>
          </cell>
          <cell r="QB30" t="e">
            <v>#N/A</v>
          </cell>
          <cell r="QE30" t="e">
            <v>#N/A</v>
          </cell>
          <cell r="QF30" t="e">
            <v>#N/A</v>
          </cell>
          <cell r="QI30" t="e">
            <v>#N/A</v>
          </cell>
          <cell r="QJ30" t="e">
            <v>#N/A</v>
          </cell>
          <cell r="QR30">
            <v>22</v>
          </cell>
          <cell r="QS30" t="str">
            <v/>
          </cell>
          <cell r="QV30">
            <v>25</v>
          </cell>
          <cell r="QW30" t="str">
            <v/>
          </cell>
          <cell r="QZ30">
            <v>27</v>
          </cell>
          <cell r="RA30">
            <v>80000</v>
          </cell>
          <cell r="RD30">
            <v>4</v>
          </cell>
          <cell r="RE30" t="str">
            <v/>
          </cell>
          <cell r="RH30">
            <v>3</v>
          </cell>
          <cell r="RI30" t="str">
            <v/>
          </cell>
          <cell r="RL30">
            <v>27</v>
          </cell>
          <cell r="RM30">
            <v>2043</v>
          </cell>
          <cell r="RP30">
            <v>13</v>
          </cell>
          <cell r="RQ30" t="str">
            <v/>
          </cell>
          <cell r="RT30">
            <v>27</v>
          </cell>
          <cell r="RU30">
            <v>251229</v>
          </cell>
          <cell r="RX30">
            <v>27</v>
          </cell>
          <cell r="RY30">
            <v>45221</v>
          </cell>
          <cell r="SB30">
            <v>27</v>
          </cell>
          <cell r="SC30">
            <v>296450</v>
          </cell>
          <cell r="SF30">
            <v>27</v>
          </cell>
          <cell r="SG30">
            <v>6372</v>
          </cell>
          <cell r="SJ30">
            <v>27</v>
          </cell>
          <cell r="SK30">
            <v>251.22900000000001</v>
          </cell>
          <cell r="SN30">
            <v>27</v>
          </cell>
          <cell r="SO30">
            <v>6670.1299499999996</v>
          </cell>
          <cell r="SR30">
            <v>27</v>
          </cell>
          <cell r="SS30">
            <v>113.05305</v>
          </cell>
          <cell r="SV30">
            <v>27</v>
          </cell>
          <cell r="SW30">
            <v>6557.0768999999991</v>
          </cell>
          <cell r="SZ30">
            <v>27</v>
          </cell>
          <cell r="TA30">
            <v>7317</v>
          </cell>
          <cell r="TD30">
            <v>2</v>
          </cell>
          <cell r="TE30" t="str">
            <v/>
          </cell>
          <cell r="TH30">
            <v>5</v>
          </cell>
          <cell r="TI30" t="str">
            <v/>
          </cell>
          <cell r="TL30">
            <v>27</v>
          </cell>
          <cell r="TM30">
            <v>295571</v>
          </cell>
          <cell r="TP30">
            <v>27</v>
          </cell>
          <cell r="TQ30">
            <v>62807</v>
          </cell>
          <cell r="TT30">
            <v>27</v>
          </cell>
          <cell r="TU30">
            <v>62807</v>
          </cell>
          <cell r="TX30">
            <v>6</v>
          </cell>
          <cell r="TY30" t="str">
            <v/>
          </cell>
          <cell r="UB30">
            <v>27</v>
          </cell>
          <cell r="UC30">
            <v>232764</v>
          </cell>
          <cell r="UF30" t="e">
            <v>#N/A</v>
          </cell>
          <cell r="UG30" t="e">
            <v>#N/A</v>
          </cell>
          <cell r="UJ30" t="e">
            <v>#N/A</v>
          </cell>
          <cell r="UK30" t="e">
            <v>#N/A</v>
          </cell>
          <cell r="UN30">
            <v>27</v>
          </cell>
          <cell r="UO30">
            <v>8893.5066000000006</v>
          </cell>
          <cell r="UR30" t="e">
            <v>#N/A</v>
          </cell>
          <cell r="US30" t="e">
            <v>#N/A</v>
          </cell>
          <cell r="UV30" t="e">
            <v>#N/A</v>
          </cell>
          <cell r="UW30" t="e">
            <v>#N/A</v>
          </cell>
          <cell r="UZ30">
            <v>27</v>
          </cell>
          <cell r="VA30">
            <v>247069</v>
          </cell>
          <cell r="VD30">
            <v>11</v>
          </cell>
          <cell r="VE30" t="str">
            <v/>
          </cell>
          <cell r="VH30" t="e">
            <v>#N/A</v>
          </cell>
          <cell r="VI30" t="e">
            <v>#N/A</v>
          </cell>
          <cell r="VL30" t="e">
            <v>#N/A</v>
          </cell>
          <cell r="VM30" t="e">
            <v>#N/A</v>
          </cell>
          <cell r="VP30" t="e">
            <v>#N/A</v>
          </cell>
          <cell r="VQ30" t="e">
            <v>#N/A</v>
          </cell>
          <cell r="VT30" t="e">
            <v>#N/A</v>
          </cell>
          <cell r="VU30" t="e">
            <v>#N/A</v>
          </cell>
        </row>
        <row r="31">
          <cell r="A31" t="str">
            <v>+ 2046</v>
          </cell>
          <cell r="I31">
            <v>28</v>
          </cell>
          <cell r="J31" t="str">
            <v>+ 28</v>
          </cell>
          <cell r="GA31">
            <v>0</v>
          </cell>
          <cell r="GB31" t="str">
            <v/>
          </cell>
          <cell r="GE31">
            <v>0</v>
          </cell>
          <cell r="GF31" t="str">
            <v/>
          </cell>
          <cell r="GI31">
            <v>13</v>
          </cell>
          <cell r="GJ31" t="str">
            <v/>
          </cell>
          <cell r="GM31">
            <v>0</v>
          </cell>
          <cell r="GN31" t="str">
            <v/>
          </cell>
          <cell r="GQ31">
            <v>0</v>
          </cell>
          <cell r="GR31" t="str">
            <v/>
          </cell>
          <cell r="GU31">
            <v>0</v>
          </cell>
          <cell r="GV31" t="str">
            <v/>
          </cell>
          <cell r="GY31">
            <v>0</v>
          </cell>
          <cell r="GZ31" t="str">
            <v/>
          </cell>
          <cell r="HC31">
            <v>0</v>
          </cell>
          <cell r="HD31" t="str">
            <v/>
          </cell>
          <cell r="HG31">
            <v>0</v>
          </cell>
          <cell r="HH31" t="str">
            <v/>
          </cell>
          <cell r="HK31">
            <v>0</v>
          </cell>
          <cell r="HL31" t="str">
            <v/>
          </cell>
          <cell r="HO31">
            <v>0</v>
          </cell>
          <cell r="HP31" t="str">
            <v/>
          </cell>
          <cell r="HS31">
            <v>0</v>
          </cell>
          <cell r="HT31" t="str">
            <v/>
          </cell>
          <cell r="HW31">
            <v>0</v>
          </cell>
          <cell r="HX31" t="str">
            <v/>
          </cell>
          <cell r="IA31">
            <v>0</v>
          </cell>
          <cell r="IB31" t="str">
            <v/>
          </cell>
          <cell r="IE31">
            <v>0</v>
          </cell>
          <cell r="IF31" t="str">
            <v/>
          </cell>
          <cell r="II31">
            <v>0</v>
          </cell>
          <cell r="IJ31" t="str">
            <v/>
          </cell>
          <cell r="IM31">
            <v>0</v>
          </cell>
          <cell r="IN31" t="str">
            <v/>
          </cell>
          <cell r="IQ31">
            <v>0</v>
          </cell>
          <cell r="IR31" t="str">
            <v/>
          </cell>
          <cell r="IU31">
            <v>0</v>
          </cell>
          <cell r="IV31" t="str">
            <v/>
          </cell>
          <cell r="IY31">
            <v>0</v>
          </cell>
          <cell r="IZ31" t="str">
            <v/>
          </cell>
          <cell r="JC31">
            <v>0</v>
          </cell>
          <cell r="JD31" t="str">
            <v/>
          </cell>
          <cell r="JG31">
            <v>0</v>
          </cell>
          <cell r="JH31" t="str">
            <v/>
          </cell>
          <cell r="JK31">
            <v>0</v>
          </cell>
          <cell r="JL31" t="str">
            <v/>
          </cell>
          <cell r="JO31" t="e">
            <v>#N/A</v>
          </cell>
          <cell r="JP31" t="e">
            <v>#N/A</v>
          </cell>
          <cell r="JS31" t="e">
            <v>#N/A</v>
          </cell>
          <cell r="JT31" t="e">
            <v>#N/A</v>
          </cell>
          <cell r="JW31">
            <v>0</v>
          </cell>
          <cell r="JX31" t="str">
            <v/>
          </cell>
          <cell r="KA31" t="e">
            <v>#N/A</v>
          </cell>
          <cell r="KB31" t="e">
            <v>#N/A</v>
          </cell>
          <cell r="KE31" t="e">
            <v>#N/A</v>
          </cell>
          <cell r="KF31" t="e">
            <v>#N/A</v>
          </cell>
          <cell r="KI31">
            <v>0</v>
          </cell>
          <cell r="KJ31" t="str">
            <v/>
          </cell>
          <cell r="KM31">
            <v>0</v>
          </cell>
          <cell r="KN31" t="str">
            <v/>
          </cell>
          <cell r="KQ31">
            <v>0</v>
          </cell>
          <cell r="KR31" t="str">
            <v/>
          </cell>
          <cell r="KU31" t="e">
            <v>#N/A</v>
          </cell>
          <cell r="KV31" t="e">
            <v>#N/A</v>
          </cell>
          <cell r="KY31" t="e">
            <v>#N/A</v>
          </cell>
          <cell r="KZ31" t="e">
            <v>#N/A</v>
          </cell>
          <cell r="LC31" t="e">
            <v>#N/A</v>
          </cell>
          <cell r="LD31" t="e">
            <v>#N/A</v>
          </cell>
          <cell r="LG31">
            <v>28</v>
          </cell>
          <cell r="LH31">
            <v>2046</v>
          </cell>
          <cell r="LK31">
            <v>13</v>
          </cell>
          <cell r="LL31" t="str">
            <v/>
          </cell>
          <cell r="LO31">
            <v>25</v>
          </cell>
          <cell r="LP31" t="str">
            <v/>
          </cell>
          <cell r="LS31">
            <v>4</v>
          </cell>
          <cell r="LT31" t="str">
            <v/>
          </cell>
          <cell r="LW31">
            <v>22</v>
          </cell>
          <cell r="LX31" t="str">
            <v/>
          </cell>
          <cell r="MA31">
            <v>3</v>
          </cell>
          <cell r="MB31" t="str">
            <v/>
          </cell>
          <cell r="ME31">
            <v>28</v>
          </cell>
          <cell r="MF31">
            <v>80006</v>
          </cell>
          <cell r="MI31">
            <v>28</v>
          </cell>
          <cell r="MJ31">
            <v>270006</v>
          </cell>
          <cell r="MM31">
            <v>28</v>
          </cell>
          <cell r="MN31">
            <v>48601</v>
          </cell>
          <cell r="MQ31">
            <v>28</v>
          </cell>
          <cell r="MR31">
            <v>318607</v>
          </cell>
          <cell r="MU31">
            <v>28</v>
          </cell>
          <cell r="MV31">
            <v>7802</v>
          </cell>
          <cell r="MY31">
            <v>28</v>
          </cell>
          <cell r="MZ31">
            <v>270.00600000000003</v>
          </cell>
          <cell r="NC31">
            <v>28</v>
          </cell>
          <cell r="ND31">
            <v>7168.6593000000003</v>
          </cell>
          <cell r="NG31">
            <v>28</v>
          </cell>
          <cell r="NH31">
            <v>121.5027</v>
          </cell>
          <cell r="NK31">
            <v>28</v>
          </cell>
          <cell r="NL31">
            <v>7047.1566000000003</v>
          </cell>
          <cell r="NO31">
            <v>28</v>
          </cell>
          <cell r="NP31">
            <v>8959</v>
          </cell>
          <cell r="NS31">
            <v>2</v>
          </cell>
          <cell r="NT31" t="str">
            <v/>
          </cell>
          <cell r="NW31">
            <v>5</v>
          </cell>
          <cell r="NX31" t="str">
            <v/>
          </cell>
          <cell r="OA31">
            <v>28</v>
          </cell>
          <cell r="OB31">
            <v>317662</v>
          </cell>
          <cell r="OE31">
            <v>28</v>
          </cell>
          <cell r="OF31">
            <v>67502</v>
          </cell>
          <cell r="OI31">
            <v>28</v>
          </cell>
          <cell r="OJ31">
            <v>67502</v>
          </cell>
          <cell r="OM31">
            <v>6</v>
          </cell>
          <cell r="ON31" t="str">
            <v/>
          </cell>
          <cell r="OQ31">
            <v>28</v>
          </cell>
          <cell r="OR31">
            <v>250161</v>
          </cell>
          <cell r="OU31" t="e">
            <v>#N/A</v>
          </cell>
          <cell r="OV31" t="e">
            <v>#N/A</v>
          </cell>
          <cell r="OY31" t="e">
            <v>#N/A</v>
          </cell>
          <cell r="OZ31" t="e">
            <v>#N/A</v>
          </cell>
          <cell r="PC31">
            <v>28</v>
          </cell>
          <cell r="PD31">
            <v>9558.2124000000003</v>
          </cell>
          <cell r="PG31" t="e">
            <v>#N/A</v>
          </cell>
          <cell r="PH31" t="e">
            <v>#N/A</v>
          </cell>
          <cell r="PK31" t="e">
            <v>#N/A</v>
          </cell>
          <cell r="PL31" t="e">
            <v>#N/A</v>
          </cell>
          <cell r="PO31">
            <v>28</v>
          </cell>
          <cell r="PP31">
            <v>258831</v>
          </cell>
          <cell r="PS31">
            <v>11</v>
          </cell>
          <cell r="PT31" t="str">
            <v/>
          </cell>
          <cell r="PW31">
            <v>1</v>
          </cell>
          <cell r="PX31" t="str">
            <v/>
          </cell>
          <cell r="QA31" t="e">
            <v>#N/A</v>
          </cell>
          <cell r="QB31" t="e">
            <v>#N/A</v>
          </cell>
          <cell r="QE31" t="e">
            <v>#N/A</v>
          </cell>
          <cell r="QF31" t="e">
            <v>#N/A</v>
          </cell>
          <cell r="QI31" t="e">
            <v>#N/A</v>
          </cell>
          <cell r="QJ31" t="e">
            <v>#N/A</v>
          </cell>
          <cell r="QR31">
            <v>22</v>
          </cell>
          <cell r="QS31" t="str">
            <v/>
          </cell>
          <cell r="QV31">
            <v>25</v>
          </cell>
          <cell r="QW31" t="str">
            <v/>
          </cell>
          <cell r="QZ31">
            <v>28</v>
          </cell>
          <cell r="RA31">
            <v>80006</v>
          </cell>
          <cell r="RD31">
            <v>4</v>
          </cell>
          <cell r="RE31" t="str">
            <v/>
          </cell>
          <cell r="RH31">
            <v>3</v>
          </cell>
          <cell r="RI31" t="str">
            <v/>
          </cell>
          <cell r="RL31">
            <v>28</v>
          </cell>
          <cell r="RM31">
            <v>2046</v>
          </cell>
          <cell r="RP31">
            <v>13</v>
          </cell>
          <cell r="RQ31" t="str">
            <v/>
          </cell>
          <cell r="RT31">
            <v>28</v>
          </cell>
          <cell r="RU31">
            <v>270006</v>
          </cell>
          <cell r="RX31">
            <v>28</v>
          </cell>
          <cell r="RY31">
            <v>48601</v>
          </cell>
          <cell r="SB31">
            <v>28</v>
          </cell>
          <cell r="SC31">
            <v>318607</v>
          </cell>
          <cell r="SF31">
            <v>28</v>
          </cell>
          <cell r="SG31">
            <v>7802</v>
          </cell>
          <cell r="SJ31">
            <v>28</v>
          </cell>
          <cell r="SK31">
            <v>270.00600000000003</v>
          </cell>
          <cell r="SN31">
            <v>28</v>
          </cell>
          <cell r="SO31">
            <v>7168.6593000000003</v>
          </cell>
          <cell r="SR31">
            <v>28</v>
          </cell>
          <cell r="SS31">
            <v>121.5027</v>
          </cell>
          <cell r="SV31">
            <v>28</v>
          </cell>
          <cell r="SW31">
            <v>7047.1566000000003</v>
          </cell>
          <cell r="SZ31">
            <v>28</v>
          </cell>
          <cell r="TA31">
            <v>8959</v>
          </cell>
          <cell r="TD31">
            <v>2</v>
          </cell>
          <cell r="TE31" t="str">
            <v/>
          </cell>
          <cell r="TH31">
            <v>5</v>
          </cell>
          <cell r="TI31" t="str">
            <v/>
          </cell>
          <cell r="TL31">
            <v>28</v>
          </cell>
          <cell r="TM31">
            <v>317662</v>
          </cell>
          <cell r="TP31">
            <v>28</v>
          </cell>
          <cell r="TQ31">
            <v>67502</v>
          </cell>
          <cell r="TT31">
            <v>28</v>
          </cell>
          <cell r="TU31">
            <v>67502</v>
          </cell>
          <cell r="TX31">
            <v>6</v>
          </cell>
          <cell r="TY31" t="str">
            <v/>
          </cell>
          <cell r="UB31">
            <v>28</v>
          </cell>
          <cell r="UC31">
            <v>250161</v>
          </cell>
          <cell r="UF31" t="e">
            <v>#N/A</v>
          </cell>
          <cell r="UG31" t="e">
            <v>#N/A</v>
          </cell>
          <cell r="UJ31" t="e">
            <v>#N/A</v>
          </cell>
          <cell r="UK31" t="e">
            <v>#N/A</v>
          </cell>
          <cell r="UN31">
            <v>28</v>
          </cell>
          <cell r="UO31">
            <v>9558.2124000000003</v>
          </cell>
          <cell r="UR31" t="e">
            <v>#N/A</v>
          </cell>
          <cell r="US31" t="e">
            <v>#N/A</v>
          </cell>
          <cell r="UV31" t="e">
            <v>#N/A</v>
          </cell>
          <cell r="UW31" t="e">
            <v>#N/A</v>
          </cell>
          <cell r="UZ31">
            <v>28</v>
          </cell>
          <cell r="VA31">
            <v>258831</v>
          </cell>
          <cell r="VD31">
            <v>11</v>
          </cell>
          <cell r="VE31" t="str">
            <v/>
          </cell>
          <cell r="VH31" t="e">
            <v>#N/A</v>
          </cell>
          <cell r="VI31" t="e">
            <v>#N/A</v>
          </cell>
          <cell r="VL31" t="e">
            <v>#N/A</v>
          </cell>
          <cell r="VM31" t="e">
            <v>#N/A</v>
          </cell>
          <cell r="VP31" t="e">
            <v>#N/A</v>
          </cell>
          <cell r="VQ31" t="e">
            <v>#N/A</v>
          </cell>
          <cell r="VT31" t="e">
            <v>#N/A</v>
          </cell>
          <cell r="VU31" t="e">
            <v>#N/A</v>
          </cell>
        </row>
        <row r="32">
          <cell r="A32" t="str">
            <v>+ 2055</v>
          </cell>
          <cell r="I32">
            <v>29</v>
          </cell>
          <cell r="J32" t="str">
            <v>+ 29</v>
          </cell>
          <cell r="GA32">
            <v>0</v>
          </cell>
          <cell r="GB32" t="str">
            <v/>
          </cell>
          <cell r="GE32">
            <v>0</v>
          </cell>
          <cell r="GF32" t="str">
            <v/>
          </cell>
          <cell r="GI32">
            <v>13</v>
          </cell>
          <cell r="GJ32" t="str">
            <v/>
          </cell>
          <cell r="GM32">
            <v>0</v>
          </cell>
          <cell r="GN32" t="str">
            <v/>
          </cell>
          <cell r="GQ32">
            <v>0</v>
          </cell>
          <cell r="GR32" t="str">
            <v/>
          </cell>
          <cell r="GU32">
            <v>0</v>
          </cell>
          <cell r="GV32" t="str">
            <v/>
          </cell>
          <cell r="GY32">
            <v>0</v>
          </cell>
          <cell r="GZ32" t="str">
            <v/>
          </cell>
          <cell r="HC32">
            <v>0</v>
          </cell>
          <cell r="HD32" t="str">
            <v/>
          </cell>
          <cell r="HG32">
            <v>0</v>
          </cell>
          <cell r="HH32" t="str">
            <v/>
          </cell>
          <cell r="HK32">
            <v>0</v>
          </cell>
          <cell r="HL32" t="str">
            <v/>
          </cell>
          <cell r="HO32">
            <v>0</v>
          </cell>
          <cell r="HP32" t="str">
            <v/>
          </cell>
          <cell r="HS32">
            <v>0</v>
          </cell>
          <cell r="HT32" t="str">
            <v/>
          </cell>
          <cell r="HW32">
            <v>0</v>
          </cell>
          <cell r="HX32" t="str">
            <v/>
          </cell>
          <cell r="IA32">
            <v>0</v>
          </cell>
          <cell r="IB32" t="str">
            <v/>
          </cell>
          <cell r="IE32">
            <v>0</v>
          </cell>
          <cell r="IF32" t="str">
            <v/>
          </cell>
          <cell r="II32">
            <v>0</v>
          </cell>
          <cell r="IJ32" t="str">
            <v/>
          </cell>
          <cell r="IM32">
            <v>0</v>
          </cell>
          <cell r="IN32" t="str">
            <v/>
          </cell>
          <cell r="IQ32">
            <v>0</v>
          </cell>
          <cell r="IR32" t="str">
            <v/>
          </cell>
          <cell r="IU32">
            <v>0</v>
          </cell>
          <cell r="IV32" t="str">
            <v/>
          </cell>
          <cell r="IY32">
            <v>0</v>
          </cell>
          <cell r="IZ32" t="str">
            <v/>
          </cell>
          <cell r="JC32">
            <v>0</v>
          </cell>
          <cell r="JD32" t="str">
            <v/>
          </cell>
          <cell r="JG32">
            <v>0</v>
          </cell>
          <cell r="JH32" t="str">
            <v/>
          </cell>
          <cell r="JK32">
            <v>0</v>
          </cell>
          <cell r="JL32" t="str">
            <v/>
          </cell>
          <cell r="JO32" t="e">
            <v>#N/A</v>
          </cell>
          <cell r="JP32" t="e">
            <v>#N/A</v>
          </cell>
          <cell r="JS32" t="e">
            <v>#N/A</v>
          </cell>
          <cell r="JT32" t="e">
            <v>#N/A</v>
          </cell>
          <cell r="JW32">
            <v>0</v>
          </cell>
          <cell r="JX32" t="str">
            <v/>
          </cell>
          <cell r="KA32" t="e">
            <v>#N/A</v>
          </cell>
          <cell r="KB32" t="e">
            <v>#N/A</v>
          </cell>
          <cell r="KE32" t="e">
            <v>#N/A</v>
          </cell>
          <cell r="KF32" t="e">
            <v>#N/A</v>
          </cell>
          <cell r="KI32">
            <v>0</v>
          </cell>
          <cell r="KJ32" t="str">
            <v/>
          </cell>
          <cell r="KM32">
            <v>0</v>
          </cell>
          <cell r="KN32" t="str">
            <v/>
          </cell>
          <cell r="KQ32">
            <v>0</v>
          </cell>
          <cell r="KR32" t="str">
            <v/>
          </cell>
          <cell r="KU32" t="e">
            <v>#N/A</v>
          </cell>
          <cell r="KV32" t="e">
            <v>#N/A</v>
          </cell>
          <cell r="KY32" t="e">
            <v>#N/A</v>
          </cell>
          <cell r="KZ32" t="e">
            <v>#N/A</v>
          </cell>
          <cell r="LC32" t="e">
            <v>#N/A</v>
          </cell>
          <cell r="LD32" t="e">
            <v>#N/A</v>
          </cell>
          <cell r="LG32">
            <v>29</v>
          </cell>
          <cell r="LH32">
            <v>2055</v>
          </cell>
          <cell r="LK32">
            <v>13</v>
          </cell>
          <cell r="LL32" t="str">
            <v/>
          </cell>
          <cell r="LO32">
            <v>25</v>
          </cell>
          <cell r="LP32" t="str">
            <v/>
          </cell>
          <cell r="LS32">
            <v>4</v>
          </cell>
          <cell r="LT32" t="str">
            <v/>
          </cell>
          <cell r="LW32">
            <v>22</v>
          </cell>
          <cell r="LX32" t="str">
            <v/>
          </cell>
          <cell r="MA32">
            <v>3</v>
          </cell>
          <cell r="MB32" t="str">
            <v/>
          </cell>
          <cell r="ME32">
            <v>29</v>
          </cell>
          <cell r="MF32">
            <v>83743</v>
          </cell>
          <cell r="MI32">
            <v>29</v>
          </cell>
          <cell r="MJ32">
            <v>330600</v>
          </cell>
          <cell r="MM32">
            <v>29</v>
          </cell>
          <cell r="MN32">
            <v>59508</v>
          </cell>
          <cell r="MQ32">
            <v>29</v>
          </cell>
          <cell r="MR32">
            <v>390108</v>
          </cell>
          <cell r="MU32">
            <v>29</v>
          </cell>
          <cell r="MV32">
            <v>9440</v>
          </cell>
          <cell r="MY32">
            <v>29</v>
          </cell>
          <cell r="MZ32">
            <v>330.6</v>
          </cell>
          <cell r="NC32">
            <v>29</v>
          </cell>
          <cell r="ND32">
            <v>8777.43</v>
          </cell>
          <cell r="NG32">
            <v>29</v>
          </cell>
          <cell r="NH32">
            <v>148.77000000000001</v>
          </cell>
          <cell r="NK32">
            <v>29</v>
          </cell>
          <cell r="NL32">
            <v>8628.66</v>
          </cell>
          <cell r="NO32">
            <v>29</v>
          </cell>
          <cell r="NP32">
            <v>10840</v>
          </cell>
          <cell r="NS32">
            <v>2</v>
          </cell>
          <cell r="NT32" t="str">
            <v/>
          </cell>
          <cell r="NW32">
            <v>5</v>
          </cell>
          <cell r="NX32" t="str">
            <v/>
          </cell>
          <cell r="OA32">
            <v>29</v>
          </cell>
          <cell r="OB32">
            <v>388951</v>
          </cell>
          <cell r="OE32">
            <v>29</v>
          </cell>
          <cell r="OF32">
            <v>82650</v>
          </cell>
          <cell r="OI32">
            <v>29</v>
          </cell>
          <cell r="OJ32">
            <v>82650</v>
          </cell>
          <cell r="OM32">
            <v>6</v>
          </cell>
          <cell r="ON32" t="str">
            <v/>
          </cell>
          <cell r="OQ32">
            <v>29</v>
          </cell>
          <cell r="OR32">
            <v>306301</v>
          </cell>
          <cell r="OU32" t="e">
            <v>#N/A</v>
          </cell>
          <cell r="OV32" t="e">
            <v>#N/A</v>
          </cell>
          <cell r="OY32" t="e">
            <v>#N/A</v>
          </cell>
          <cell r="OZ32" t="e">
            <v>#N/A</v>
          </cell>
          <cell r="PC32">
            <v>29</v>
          </cell>
          <cell r="PD32">
            <v>11703.24</v>
          </cell>
          <cell r="PG32" t="e">
            <v>#N/A</v>
          </cell>
          <cell r="PH32" t="e">
            <v>#N/A</v>
          </cell>
          <cell r="PK32" t="e">
            <v>#N/A</v>
          </cell>
          <cell r="PL32" t="e">
            <v>#N/A</v>
          </cell>
          <cell r="PO32">
            <v>29</v>
          </cell>
          <cell r="PP32">
            <v>295571</v>
          </cell>
          <cell r="PS32">
            <v>11</v>
          </cell>
          <cell r="PT32" t="str">
            <v/>
          </cell>
          <cell r="PW32">
            <v>1</v>
          </cell>
          <cell r="PX32" t="str">
            <v/>
          </cell>
          <cell r="QA32" t="e">
            <v>#N/A</v>
          </cell>
          <cell r="QB32" t="e">
            <v>#N/A</v>
          </cell>
          <cell r="QE32" t="e">
            <v>#N/A</v>
          </cell>
          <cell r="QF32" t="e">
            <v>#N/A</v>
          </cell>
          <cell r="QI32" t="e">
            <v>#N/A</v>
          </cell>
          <cell r="QJ32" t="e">
            <v>#N/A</v>
          </cell>
          <cell r="QR32">
            <v>22</v>
          </cell>
          <cell r="QS32" t="str">
            <v/>
          </cell>
          <cell r="QV32">
            <v>25</v>
          </cell>
          <cell r="QW32" t="str">
            <v/>
          </cell>
          <cell r="QZ32">
            <v>29</v>
          </cell>
          <cell r="RA32">
            <v>83743</v>
          </cell>
          <cell r="RD32">
            <v>4</v>
          </cell>
          <cell r="RE32" t="str">
            <v/>
          </cell>
          <cell r="RH32">
            <v>3</v>
          </cell>
          <cell r="RI32" t="str">
            <v/>
          </cell>
          <cell r="RL32">
            <v>29</v>
          </cell>
          <cell r="RM32">
            <v>2055</v>
          </cell>
          <cell r="RP32">
            <v>13</v>
          </cell>
          <cell r="RQ32" t="str">
            <v/>
          </cell>
          <cell r="RT32">
            <v>29</v>
          </cell>
          <cell r="RU32">
            <v>330600</v>
          </cell>
          <cell r="RX32">
            <v>29</v>
          </cell>
          <cell r="RY32">
            <v>59508</v>
          </cell>
          <cell r="SB32">
            <v>29</v>
          </cell>
          <cell r="SC32">
            <v>390108</v>
          </cell>
          <cell r="SF32">
            <v>29</v>
          </cell>
          <cell r="SG32">
            <v>9440</v>
          </cell>
          <cell r="SJ32">
            <v>29</v>
          </cell>
          <cell r="SK32">
            <v>330.6</v>
          </cell>
          <cell r="SN32">
            <v>29</v>
          </cell>
          <cell r="SO32">
            <v>8777.43</v>
          </cell>
          <cell r="SR32">
            <v>29</v>
          </cell>
          <cell r="SS32">
            <v>148.77000000000001</v>
          </cell>
          <cell r="SV32">
            <v>29</v>
          </cell>
          <cell r="SW32">
            <v>8628.66</v>
          </cell>
          <cell r="SZ32">
            <v>29</v>
          </cell>
          <cell r="TA32">
            <v>10840</v>
          </cell>
          <cell r="TD32">
            <v>2</v>
          </cell>
          <cell r="TE32" t="str">
            <v/>
          </cell>
          <cell r="TH32">
            <v>5</v>
          </cell>
          <cell r="TI32" t="str">
            <v/>
          </cell>
          <cell r="TL32">
            <v>29</v>
          </cell>
          <cell r="TM32">
            <v>388951</v>
          </cell>
          <cell r="TP32">
            <v>29</v>
          </cell>
          <cell r="TQ32">
            <v>82650</v>
          </cell>
          <cell r="TT32">
            <v>29</v>
          </cell>
          <cell r="TU32">
            <v>82650</v>
          </cell>
          <cell r="TX32">
            <v>6</v>
          </cell>
          <cell r="TY32" t="str">
            <v/>
          </cell>
          <cell r="UB32">
            <v>29</v>
          </cell>
          <cell r="UC32">
            <v>306301</v>
          </cell>
          <cell r="UF32" t="e">
            <v>#N/A</v>
          </cell>
          <cell r="UG32" t="e">
            <v>#N/A</v>
          </cell>
          <cell r="UJ32" t="e">
            <v>#N/A</v>
          </cell>
          <cell r="UK32" t="e">
            <v>#N/A</v>
          </cell>
          <cell r="UN32">
            <v>29</v>
          </cell>
          <cell r="UO32">
            <v>11703.24</v>
          </cell>
          <cell r="UR32" t="e">
            <v>#N/A</v>
          </cell>
          <cell r="US32" t="e">
            <v>#N/A</v>
          </cell>
          <cell r="UV32" t="e">
            <v>#N/A</v>
          </cell>
          <cell r="UW32" t="e">
            <v>#N/A</v>
          </cell>
          <cell r="UZ32">
            <v>29</v>
          </cell>
          <cell r="VA32">
            <v>295571</v>
          </cell>
          <cell r="VD32">
            <v>11</v>
          </cell>
          <cell r="VE32" t="str">
            <v/>
          </cell>
          <cell r="VH32" t="e">
            <v>#N/A</v>
          </cell>
          <cell r="VI32" t="e">
            <v>#N/A</v>
          </cell>
          <cell r="VL32" t="e">
            <v>#N/A</v>
          </cell>
          <cell r="VM32" t="e">
            <v>#N/A</v>
          </cell>
          <cell r="VP32" t="e">
            <v>#N/A</v>
          </cell>
          <cell r="VQ32" t="e">
            <v>#N/A</v>
          </cell>
          <cell r="VT32" t="e">
            <v>#N/A</v>
          </cell>
          <cell r="VU32" t="e">
            <v>#N/A</v>
          </cell>
        </row>
        <row r="33">
          <cell r="A33" t="str">
            <v>+ 2059</v>
          </cell>
          <cell r="I33">
            <v>30</v>
          </cell>
          <cell r="J33" t="str">
            <v>+ 30</v>
          </cell>
          <cell r="GA33">
            <v>0</v>
          </cell>
          <cell r="GB33" t="str">
            <v/>
          </cell>
          <cell r="GE33">
            <v>0</v>
          </cell>
          <cell r="GF33" t="str">
            <v/>
          </cell>
          <cell r="GI33">
            <v>13</v>
          </cell>
          <cell r="GJ33" t="str">
            <v/>
          </cell>
          <cell r="GM33">
            <v>0</v>
          </cell>
          <cell r="GN33" t="str">
            <v/>
          </cell>
          <cell r="GQ33">
            <v>0</v>
          </cell>
          <cell r="GR33" t="str">
            <v/>
          </cell>
          <cell r="GU33">
            <v>0</v>
          </cell>
          <cell r="GV33" t="str">
            <v/>
          </cell>
          <cell r="GY33">
            <v>0</v>
          </cell>
          <cell r="GZ33" t="str">
            <v/>
          </cell>
          <cell r="HC33">
            <v>0</v>
          </cell>
          <cell r="HD33" t="str">
            <v/>
          </cell>
          <cell r="HG33">
            <v>0</v>
          </cell>
          <cell r="HH33" t="str">
            <v/>
          </cell>
          <cell r="HK33">
            <v>0</v>
          </cell>
          <cell r="HL33" t="str">
            <v/>
          </cell>
          <cell r="HO33">
            <v>0</v>
          </cell>
          <cell r="HP33" t="str">
            <v/>
          </cell>
          <cell r="HS33">
            <v>0</v>
          </cell>
          <cell r="HT33" t="str">
            <v/>
          </cell>
          <cell r="HW33">
            <v>0</v>
          </cell>
          <cell r="HX33" t="str">
            <v/>
          </cell>
          <cell r="IA33">
            <v>0</v>
          </cell>
          <cell r="IB33" t="str">
            <v/>
          </cell>
          <cell r="IE33">
            <v>0</v>
          </cell>
          <cell r="IF33" t="str">
            <v/>
          </cell>
          <cell r="II33">
            <v>0</v>
          </cell>
          <cell r="IJ33" t="str">
            <v/>
          </cell>
          <cell r="IM33">
            <v>0</v>
          </cell>
          <cell r="IN33" t="str">
            <v/>
          </cell>
          <cell r="IQ33">
            <v>0</v>
          </cell>
          <cell r="IR33" t="str">
            <v/>
          </cell>
          <cell r="IU33">
            <v>0</v>
          </cell>
          <cell r="IV33" t="str">
            <v/>
          </cell>
          <cell r="IY33">
            <v>0</v>
          </cell>
          <cell r="IZ33" t="str">
            <v/>
          </cell>
          <cell r="JC33">
            <v>0</v>
          </cell>
          <cell r="JD33" t="str">
            <v/>
          </cell>
          <cell r="JG33">
            <v>0</v>
          </cell>
          <cell r="JH33" t="str">
            <v/>
          </cell>
          <cell r="JK33">
            <v>0</v>
          </cell>
          <cell r="JL33" t="str">
            <v/>
          </cell>
          <cell r="JO33" t="e">
            <v>#N/A</v>
          </cell>
          <cell r="JP33" t="e">
            <v>#N/A</v>
          </cell>
          <cell r="JS33" t="e">
            <v>#N/A</v>
          </cell>
          <cell r="JT33" t="e">
            <v>#N/A</v>
          </cell>
          <cell r="JW33">
            <v>0</v>
          </cell>
          <cell r="JX33" t="str">
            <v/>
          </cell>
          <cell r="KA33" t="e">
            <v>#N/A</v>
          </cell>
          <cell r="KB33" t="e">
            <v>#N/A</v>
          </cell>
          <cell r="KE33" t="e">
            <v>#N/A</v>
          </cell>
          <cell r="KF33" t="e">
            <v>#N/A</v>
          </cell>
          <cell r="KI33">
            <v>0</v>
          </cell>
          <cell r="KJ33" t="str">
            <v/>
          </cell>
          <cell r="KM33">
            <v>0</v>
          </cell>
          <cell r="KN33" t="str">
            <v/>
          </cell>
          <cell r="KQ33">
            <v>0</v>
          </cell>
          <cell r="KR33" t="str">
            <v/>
          </cell>
          <cell r="KU33" t="e">
            <v>#N/A</v>
          </cell>
          <cell r="KV33" t="e">
            <v>#N/A</v>
          </cell>
          <cell r="KY33" t="e">
            <v>#N/A</v>
          </cell>
          <cell r="KZ33" t="e">
            <v>#N/A</v>
          </cell>
          <cell r="LC33" t="e">
            <v>#N/A</v>
          </cell>
          <cell r="LD33" t="e">
            <v>#N/A</v>
          </cell>
          <cell r="LG33">
            <v>30</v>
          </cell>
          <cell r="LH33">
            <v>2059</v>
          </cell>
          <cell r="LK33">
            <v>13</v>
          </cell>
          <cell r="LL33" t="str">
            <v/>
          </cell>
          <cell r="LO33">
            <v>25</v>
          </cell>
          <cell r="LP33" t="str">
            <v/>
          </cell>
          <cell r="LS33">
            <v>4</v>
          </cell>
          <cell r="LT33" t="str">
            <v/>
          </cell>
          <cell r="LW33">
            <v>22</v>
          </cell>
          <cell r="LX33" t="str">
            <v/>
          </cell>
          <cell r="MA33">
            <v>3</v>
          </cell>
          <cell r="MB33" t="str">
            <v/>
          </cell>
          <cell r="ME33">
            <v>30</v>
          </cell>
          <cell r="MF33">
            <v>90002</v>
          </cell>
          <cell r="MI33">
            <v>30</v>
          </cell>
          <cell r="MJ33">
            <v>400000</v>
          </cell>
          <cell r="MM33">
            <v>30</v>
          </cell>
          <cell r="MN33">
            <v>72000</v>
          </cell>
          <cell r="MQ33">
            <v>30</v>
          </cell>
          <cell r="MR33">
            <v>472000</v>
          </cell>
          <cell r="MU33">
            <v>30</v>
          </cell>
          <cell r="MV33">
            <v>12201</v>
          </cell>
          <cell r="MY33">
            <v>30</v>
          </cell>
          <cell r="MZ33">
            <v>400</v>
          </cell>
          <cell r="NC33">
            <v>30</v>
          </cell>
          <cell r="ND33">
            <v>10620</v>
          </cell>
          <cell r="NG33">
            <v>30</v>
          </cell>
          <cell r="NH33">
            <v>180</v>
          </cell>
          <cell r="NK33">
            <v>30</v>
          </cell>
          <cell r="NL33">
            <v>10440</v>
          </cell>
          <cell r="NO33">
            <v>30</v>
          </cell>
          <cell r="NP33">
            <v>14011</v>
          </cell>
          <cell r="NS33">
            <v>2</v>
          </cell>
          <cell r="NT33" t="str">
            <v/>
          </cell>
          <cell r="NW33">
            <v>5</v>
          </cell>
          <cell r="NX33" t="str">
            <v/>
          </cell>
          <cell r="OA33">
            <v>30</v>
          </cell>
          <cell r="OB33">
            <v>470600</v>
          </cell>
          <cell r="OE33">
            <v>30</v>
          </cell>
          <cell r="OF33">
            <v>100000</v>
          </cell>
          <cell r="OI33">
            <v>30</v>
          </cell>
          <cell r="OJ33">
            <v>100000</v>
          </cell>
          <cell r="OM33">
            <v>6</v>
          </cell>
          <cell r="ON33" t="str">
            <v/>
          </cell>
          <cell r="OQ33">
            <v>30</v>
          </cell>
          <cell r="OR33">
            <v>370600</v>
          </cell>
          <cell r="OU33" t="e">
            <v>#N/A</v>
          </cell>
          <cell r="OV33" t="e">
            <v>#N/A</v>
          </cell>
          <cell r="OY33" t="e">
            <v>#N/A</v>
          </cell>
          <cell r="OZ33" t="e">
            <v>#N/A</v>
          </cell>
          <cell r="PC33">
            <v>30</v>
          </cell>
          <cell r="PD33">
            <v>14160</v>
          </cell>
          <cell r="PG33" t="e">
            <v>#N/A</v>
          </cell>
          <cell r="PH33" t="e">
            <v>#N/A</v>
          </cell>
          <cell r="PK33" t="e">
            <v>#N/A</v>
          </cell>
          <cell r="PL33" t="e">
            <v>#N/A</v>
          </cell>
          <cell r="PO33">
            <v>30</v>
          </cell>
          <cell r="PP33">
            <v>388951</v>
          </cell>
          <cell r="PS33">
            <v>11</v>
          </cell>
          <cell r="PT33" t="str">
            <v/>
          </cell>
          <cell r="PW33">
            <v>1</v>
          </cell>
          <cell r="PX33" t="str">
            <v/>
          </cell>
          <cell r="QA33" t="e">
            <v>#N/A</v>
          </cell>
          <cell r="QB33" t="e">
            <v>#N/A</v>
          </cell>
          <cell r="QE33" t="e">
            <v>#N/A</v>
          </cell>
          <cell r="QF33" t="e">
            <v>#N/A</v>
          </cell>
          <cell r="QI33" t="e">
            <v>#N/A</v>
          </cell>
          <cell r="QJ33" t="e">
            <v>#N/A</v>
          </cell>
          <cell r="QR33">
            <v>22</v>
          </cell>
          <cell r="QS33" t="str">
            <v/>
          </cell>
          <cell r="QV33">
            <v>25</v>
          </cell>
          <cell r="QW33" t="str">
            <v/>
          </cell>
          <cell r="QZ33">
            <v>30</v>
          </cell>
          <cell r="RA33">
            <v>90002</v>
          </cell>
          <cell r="RD33">
            <v>4</v>
          </cell>
          <cell r="RE33" t="str">
            <v/>
          </cell>
          <cell r="RH33">
            <v>3</v>
          </cell>
          <cell r="RI33" t="str">
            <v/>
          </cell>
          <cell r="RL33">
            <v>30</v>
          </cell>
          <cell r="RM33">
            <v>2059</v>
          </cell>
          <cell r="RP33">
            <v>13</v>
          </cell>
          <cell r="RQ33" t="str">
            <v/>
          </cell>
          <cell r="RT33">
            <v>30</v>
          </cell>
          <cell r="RU33">
            <v>400000</v>
          </cell>
          <cell r="RX33">
            <v>30</v>
          </cell>
          <cell r="RY33">
            <v>72000</v>
          </cell>
          <cell r="SB33">
            <v>30</v>
          </cell>
          <cell r="SC33">
            <v>472000</v>
          </cell>
          <cell r="SF33">
            <v>30</v>
          </cell>
          <cell r="SG33">
            <v>12201</v>
          </cell>
          <cell r="SJ33">
            <v>30</v>
          </cell>
          <cell r="SK33">
            <v>400</v>
          </cell>
          <cell r="SN33">
            <v>30</v>
          </cell>
          <cell r="SO33">
            <v>10620</v>
          </cell>
          <cell r="SR33">
            <v>30</v>
          </cell>
          <cell r="SS33">
            <v>180</v>
          </cell>
          <cell r="SV33">
            <v>30</v>
          </cell>
          <cell r="SW33">
            <v>10440</v>
          </cell>
          <cell r="SZ33">
            <v>30</v>
          </cell>
          <cell r="TA33">
            <v>14011</v>
          </cell>
          <cell r="TD33">
            <v>2</v>
          </cell>
          <cell r="TE33" t="str">
            <v/>
          </cell>
          <cell r="TH33">
            <v>5</v>
          </cell>
          <cell r="TI33" t="str">
            <v/>
          </cell>
          <cell r="TL33">
            <v>30</v>
          </cell>
          <cell r="TM33">
            <v>470600</v>
          </cell>
          <cell r="TP33">
            <v>30</v>
          </cell>
          <cell r="TQ33">
            <v>100000</v>
          </cell>
          <cell r="TT33">
            <v>30</v>
          </cell>
          <cell r="TU33">
            <v>100000</v>
          </cell>
          <cell r="TX33">
            <v>6</v>
          </cell>
          <cell r="TY33" t="str">
            <v/>
          </cell>
          <cell r="UB33">
            <v>30</v>
          </cell>
          <cell r="UC33">
            <v>370600</v>
          </cell>
          <cell r="UF33" t="e">
            <v>#N/A</v>
          </cell>
          <cell r="UG33" t="e">
            <v>#N/A</v>
          </cell>
          <cell r="UJ33" t="e">
            <v>#N/A</v>
          </cell>
          <cell r="UK33" t="e">
            <v>#N/A</v>
          </cell>
          <cell r="UN33">
            <v>30</v>
          </cell>
          <cell r="UO33">
            <v>14160</v>
          </cell>
          <cell r="UR33" t="e">
            <v>#N/A</v>
          </cell>
          <cell r="US33" t="e">
            <v>#N/A</v>
          </cell>
          <cell r="UV33" t="e">
            <v>#N/A</v>
          </cell>
          <cell r="UW33" t="e">
            <v>#N/A</v>
          </cell>
          <cell r="UZ33">
            <v>30</v>
          </cell>
          <cell r="VA33">
            <v>388951</v>
          </cell>
          <cell r="VD33">
            <v>11</v>
          </cell>
          <cell r="VE33" t="str">
            <v/>
          </cell>
          <cell r="VH33" t="e">
            <v>#N/A</v>
          </cell>
          <cell r="VI33" t="e">
            <v>#N/A</v>
          </cell>
          <cell r="VL33" t="e">
            <v>#N/A</v>
          </cell>
          <cell r="VM33" t="e">
            <v>#N/A</v>
          </cell>
          <cell r="VP33" t="e">
            <v>#N/A</v>
          </cell>
          <cell r="VQ33" t="e">
            <v>#N/A</v>
          </cell>
          <cell r="VT33" t="e">
            <v>#N/A</v>
          </cell>
          <cell r="VU33" t="e">
            <v>#N/A</v>
          </cell>
        </row>
        <row r="34">
          <cell r="A34" t="str">
            <v>+ 2062</v>
          </cell>
          <cell r="I34">
            <v>31</v>
          </cell>
          <cell r="J34" t="str">
            <v>+ 31</v>
          </cell>
          <cell r="GA34">
            <v>0</v>
          </cell>
          <cell r="GB34" t="str">
            <v/>
          </cell>
          <cell r="GE34">
            <v>0</v>
          </cell>
          <cell r="GF34" t="str">
            <v/>
          </cell>
          <cell r="GI34">
            <v>13</v>
          </cell>
          <cell r="GJ34" t="str">
            <v/>
          </cell>
          <cell r="GM34">
            <v>0</v>
          </cell>
          <cell r="GN34" t="str">
            <v/>
          </cell>
          <cell r="GQ34">
            <v>0</v>
          </cell>
          <cell r="GR34" t="str">
            <v/>
          </cell>
          <cell r="GU34">
            <v>0</v>
          </cell>
          <cell r="GV34" t="str">
            <v/>
          </cell>
          <cell r="GY34">
            <v>0</v>
          </cell>
          <cell r="GZ34" t="str">
            <v/>
          </cell>
          <cell r="HC34">
            <v>0</v>
          </cell>
          <cell r="HD34" t="str">
            <v/>
          </cell>
          <cell r="HG34">
            <v>0</v>
          </cell>
          <cell r="HH34" t="str">
            <v/>
          </cell>
          <cell r="HK34">
            <v>0</v>
          </cell>
          <cell r="HL34" t="str">
            <v/>
          </cell>
          <cell r="HO34">
            <v>0</v>
          </cell>
          <cell r="HP34" t="str">
            <v/>
          </cell>
          <cell r="HS34">
            <v>0</v>
          </cell>
          <cell r="HT34" t="str">
            <v/>
          </cell>
          <cell r="HW34">
            <v>0</v>
          </cell>
          <cell r="HX34" t="str">
            <v/>
          </cell>
          <cell r="IA34">
            <v>0</v>
          </cell>
          <cell r="IB34" t="str">
            <v/>
          </cell>
          <cell r="IE34">
            <v>0</v>
          </cell>
          <cell r="IF34" t="str">
            <v/>
          </cell>
          <cell r="II34">
            <v>0</v>
          </cell>
          <cell r="IJ34" t="str">
            <v/>
          </cell>
          <cell r="IM34">
            <v>0</v>
          </cell>
          <cell r="IN34" t="str">
            <v/>
          </cell>
          <cell r="IQ34">
            <v>0</v>
          </cell>
          <cell r="IR34" t="str">
            <v/>
          </cell>
          <cell r="IU34">
            <v>0</v>
          </cell>
          <cell r="IV34" t="str">
            <v/>
          </cell>
          <cell r="IY34">
            <v>0</v>
          </cell>
          <cell r="IZ34" t="str">
            <v/>
          </cell>
          <cell r="JC34">
            <v>0</v>
          </cell>
          <cell r="JD34" t="str">
            <v/>
          </cell>
          <cell r="JG34">
            <v>0</v>
          </cell>
          <cell r="JH34" t="str">
            <v/>
          </cell>
          <cell r="JK34">
            <v>0</v>
          </cell>
          <cell r="JL34" t="str">
            <v/>
          </cell>
          <cell r="JO34" t="e">
            <v>#N/A</v>
          </cell>
          <cell r="JP34" t="e">
            <v>#N/A</v>
          </cell>
          <cell r="JS34" t="e">
            <v>#N/A</v>
          </cell>
          <cell r="JT34" t="e">
            <v>#N/A</v>
          </cell>
          <cell r="JW34">
            <v>0</v>
          </cell>
          <cell r="JX34" t="str">
            <v/>
          </cell>
          <cell r="KA34" t="e">
            <v>#N/A</v>
          </cell>
          <cell r="KB34" t="e">
            <v>#N/A</v>
          </cell>
          <cell r="KE34" t="e">
            <v>#N/A</v>
          </cell>
          <cell r="KF34" t="e">
            <v>#N/A</v>
          </cell>
          <cell r="KI34">
            <v>0</v>
          </cell>
          <cell r="KJ34" t="str">
            <v/>
          </cell>
          <cell r="KM34">
            <v>0</v>
          </cell>
          <cell r="KN34" t="str">
            <v/>
          </cell>
          <cell r="KQ34">
            <v>0</v>
          </cell>
          <cell r="KR34" t="str">
            <v/>
          </cell>
          <cell r="KU34" t="e">
            <v>#N/A</v>
          </cell>
          <cell r="KV34" t="e">
            <v>#N/A</v>
          </cell>
          <cell r="KY34" t="e">
            <v>#N/A</v>
          </cell>
          <cell r="KZ34" t="e">
            <v>#N/A</v>
          </cell>
          <cell r="LC34" t="e">
            <v>#N/A</v>
          </cell>
          <cell r="LD34" t="e">
            <v>#N/A</v>
          </cell>
          <cell r="LG34">
            <v>31</v>
          </cell>
          <cell r="LH34">
            <v>2062</v>
          </cell>
          <cell r="LK34">
            <v>13</v>
          </cell>
          <cell r="LL34" t="str">
            <v/>
          </cell>
          <cell r="LO34">
            <v>25</v>
          </cell>
          <cell r="LP34" t="str">
            <v/>
          </cell>
          <cell r="LS34">
            <v>4</v>
          </cell>
          <cell r="LT34" t="str">
            <v/>
          </cell>
          <cell r="LW34">
            <v>22</v>
          </cell>
          <cell r="LX34" t="str">
            <v/>
          </cell>
          <cell r="MA34">
            <v>3</v>
          </cell>
          <cell r="MB34" t="str">
            <v/>
          </cell>
          <cell r="ME34">
            <v>31</v>
          </cell>
          <cell r="MF34">
            <v>110200</v>
          </cell>
          <cell r="MI34">
            <v>31</v>
          </cell>
          <cell r="MJ34">
            <v>517000</v>
          </cell>
          <cell r="MM34">
            <v>31</v>
          </cell>
          <cell r="MN34">
            <v>93060</v>
          </cell>
          <cell r="MQ34">
            <v>31</v>
          </cell>
          <cell r="MR34">
            <v>610060</v>
          </cell>
          <cell r="MU34">
            <v>31</v>
          </cell>
          <cell r="MV34">
            <v>12966</v>
          </cell>
          <cell r="MY34">
            <v>31</v>
          </cell>
          <cell r="MZ34">
            <v>517</v>
          </cell>
          <cell r="NC34">
            <v>31</v>
          </cell>
          <cell r="ND34">
            <v>13726.349999999999</v>
          </cell>
          <cell r="NG34">
            <v>31</v>
          </cell>
          <cell r="NH34">
            <v>232.65</v>
          </cell>
          <cell r="NK34">
            <v>31</v>
          </cell>
          <cell r="NL34">
            <v>13493.699999999999</v>
          </cell>
          <cell r="NO34">
            <v>31</v>
          </cell>
          <cell r="NP34">
            <v>14889</v>
          </cell>
          <cell r="NS34">
            <v>2</v>
          </cell>
          <cell r="NT34" t="str">
            <v/>
          </cell>
          <cell r="NW34">
            <v>5</v>
          </cell>
          <cell r="NX34" t="str">
            <v/>
          </cell>
          <cell r="OA34">
            <v>31</v>
          </cell>
          <cell r="OB34">
            <v>608251</v>
          </cell>
          <cell r="OE34">
            <v>31</v>
          </cell>
          <cell r="OF34">
            <v>129250</v>
          </cell>
          <cell r="OI34">
            <v>31</v>
          </cell>
          <cell r="OJ34">
            <v>129250</v>
          </cell>
          <cell r="OM34">
            <v>6</v>
          </cell>
          <cell r="ON34" t="str">
            <v/>
          </cell>
          <cell r="OQ34">
            <v>31</v>
          </cell>
          <cell r="OR34">
            <v>479001</v>
          </cell>
          <cell r="OU34" t="e">
            <v>#N/A</v>
          </cell>
          <cell r="OV34" t="e">
            <v>#N/A</v>
          </cell>
          <cell r="OY34" t="e">
            <v>#N/A</v>
          </cell>
          <cell r="OZ34" t="e">
            <v>#N/A</v>
          </cell>
          <cell r="PC34">
            <v>31</v>
          </cell>
          <cell r="PD34">
            <v>18301.8</v>
          </cell>
          <cell r="PG34" t="e">
            <v>#N/A</v>
          </cell>
          <cell r="PH34" t="e">
            <v>#N/A</v>
          </cell>
          <cell r="PK34" t="e">
            <v>#N/A</v>
          </cell>
          <cell r="PL34" t="e">
            <v>#N/A</v>
          </cell>
          <cell r="PO34">
            <v>31</v>
          </cell>
          <cell r="PP34">
            <v>470600</v>
          </cell>
          <cell r="PS34">
            <v>11</v>
          </cell>
          <cell r="PT34" t="str">
            <v/>
          </cell>
          <cell r="PW34">
            <v>1</v>
          </cell>
          <cell r="PX34" t="str">
            <v/>
          </cell>
          <cell r="QA34" t="e">
            <v>#N/A</v>
          </cell>
          <cell r="QB34" t="e">
            <v>#N/A</v>
          </cell>
          <cell r="QE34" t="e">
            <v>#N/A</v>
          </cell>
          <cell r="QF34" t="e">
            <v>#N/A</v>
          </cell>
          <cell r="QI34" t="e">
            <v>#N/A</v>
          </cell>
          <cell r="QJ34" t="e">
            <v>#N/A</v>
          </cell>
          <cell r="QR34">
            <v>22</v>
          </cell>
          <cell r="QS34" t="str">
            <v/>
          </cell>
          <cell r="QV34">
            <v>25</v>
          </cell>
          <cell r="QW34" t="str">
            <v/>
          </cell>
          <cell r="QZ34">
            <v>31</v>
          </cell>
          <cell r="RA34">
            <v>110200</v>
          </cell>
          <cell r="RD34">
            <v>4</v>
          </cell>
          <cell r="RE34" t="str">
            <v/>
          </cell>
          <cell r="RH34">
            <v>3</v>
          </cell>
          <cell r="RI34" t="str">
            <v/>
          </cell>
          <cell r="RL34">
            <v>31</v>
          </cell>
          <cell r="RM34">
            <v>2062</v>
          </cell>
          <cell r="RP34">
            <v>13</v>
          </cell>
          <cell r="RQ34" t="str">
            <v/>
          </cell>
          <cell r="RT34">
            <v>31</v>
          </cell>
          <cell r="RU34">
            <v>517000</v>
          </cell>
          <cell r="RX34">
            <v>31</v>
          </cell>
          <cell r="RY34">
            <v>93060</v>
          </cell>
          <cell r="SB34">
            <v>31</v>
          </cell>
          <cell r="SC34">
            <v>610060</v>
          </cell>
          <cell r="SF34">
            <v>31</v>
          </cell>
          <cell r="SG34">
            <v>12966</v>
          </cell>
          <cell r="SJ34">
            <v>31</v>
          </cell>
          <cell r="SK34">
            <v>517</v>
          </cell>
          <cell r="SN34">
            <v>31</v>
          </cell>
          <cell r="SO34">
            <v>13726.349999999999</v>
          </cell>
          <cell r="SR34">
            <v>31</v>
          </cell>
          <cell r="SS34">
            <v>232.65</v>
          </cell>
          <cell r="SV34">
            <v>31</v>
          </cell>
          <cell r="SW34">
            <v>13493.699999999999</v>
          </cell>
          <cell r="SZ34">
            <v>31</v>
          </cell>
          <cell r="TA34">
            <v>14889</v>
          </cell>
          <cell r="TD34">
            <v>2</v>
          </cell>
          <cell r="TE34" t="str">
            <v/>
          </cell>
          <cell r="TH34">
            <v>5</v>
          </cell>
          <cell r="TI34" t="str">
            <v/>
          </cell>
          <cell r="TL34">
            <v>31</v>
          </cell>
          <cell r="TM34">
            <v>608251</v>
          </cell>
          <cell r="TP34">
            <v>31</v>
          </cell>
          <cell r="TQ34">
            <v>129250</v>
          </cell>
          <cell r="TT34">
            <v>31</v>
          </cell>
          <cell r="TU34">
            <v>129250</v>
          </cell>
          <cell r="TX34">
            <v>6</v>
          </cell>
          <cell r="TY34" t="str">
            <v/>
          </cell>
          <cell r="UB34">
            <v>31</v>
          </cell>
          <cell r="UC34">
            <v>479001</v>
          </cell>
          <cell r="UF34" t="e">
            <v>#N/A</v>
          </cell>
          <cell r="UG34" t="e">
            <v>#N/A</v>
          </cell>
          <cell r="UJ34" t="e">
            <v>#N/A</v>
          </cell>
          <cell r="UK34" t="e">
            <v>#N/A</v>
          </cell>
          <cell r="UN34">
            <v>31</v>
          </cell>
          <cell r="UO34">
            <v>18301.8</v>
          </cell>
          <cell r="UR34" t="e">
            <v>#N/A</v>
          </cell>
          <cell r="US34" t="e">
            <v>#N/A</v>
          </cell>
          <cell r="UV34" t="e">
            <v>#N/A</v>
          </cell>
          <cell r="UW34" t="e">
            <v>#N/A</v>
          </cell>
          <cell r="UZ34">
            <v>31</v>
          </cell>
          <cell r="VA34">
            <v>470600</v>
          </cell>
          <cell r="VD34">
            <v>11</v>
          </cell>
          <cell r="VE34" t="str">
            <v/>
          </cell>
          <cell r="VH34" t="e">
            <v>#N/A</v>
          </cell>
          <cell r="VI34" t="e">
            <v>#N/A</v>
          </cell>
          <cell r="VL34" t="e">
            <v>#N/A</v>
          </cell>
          <cell r="VM34" t="e">
            <v>#N/A</v>
          </cell>
          <cell r="VP34" t="e">
            <v>#N/A</v>
          </cell>
          <cell r="VQ34" t="e">
            <v>#N/A</v>
          </cell>
          <cell r="VT34" t="e">
            <v>#N/A</v>
          </cell>
          <cell r="VU34" t="e">
            <v>#N/A</v>
          </cell>
        </row>
        <row r="35">
          <cell r="A35" t="str">
            <v>+ 2067</v>
          </cell>
          <cell r="I35">
            <v>32</v>
          </cell>
          <cell r="J35" t="str">
            <v>+ 32</v>
          </cell>
          <cell r="GA35">
            <v>0</v>
          </cell>
          <cell r="GB35" t="str">
            <v/>
          </cell>
          <cell r="GE35">
            <v>0</v>
          </cell>
          <cell r="GF35" t="str">
            <v/>
          </cell>
          <cell r="GI35">
            <v>13</v>
          </cell>
          <cell r="GJ35" t="str">
            <v/>
          </cell>
          <cell r="GM35">
            <v>0</v>
          </cell>
          <cell r="GN35" t="str">
            <v/>
          </cell>
          <cell r="GQ35">
            <v>0</v>
          </cell>
          <cell r="GR35" t="str">
            <v/>
          </cell>
          <cell r="GU35">
            <v>0</v>
          </cell>
          <cell r="GV35" t="str">
            <v/>
          </cell>
          <cell r="GY35">
            <v>0</v>
          </cell>
          <cell r="GZ35" t="str">
            <v/>
          </cell>
          <cell r="HC35">
            <v>0</v>
          </cell>
          <cell r="HD35" t="str">
            <v/>
          </cell>
          <cell r="HG35">
            <v>0</v>
          </cell>
          <cell r="HH35" t="str">
            <v/>
          </cell>
          <cell r="HK35">
            <v>0</v>
          </cell>
          <cell r="HL35" t="str">
            <v/>
          </cell>
          <cell r="HO35">
            <v>0</v>
          </cell>
          <cell r="HP35" t="str">
            <v/>
          </cell>
          <cell r="HS35">
            <v>0</v>
          </cell>
          <cell r="HT35" t="str">
            <v/>
          </cell>
          <cell r="HW35">
            <v>0</v>
          </cell>
          <cell r="HX35" t="str">
            <v/>
          </cell>
          <cell r="IA35">
            <v>0</v>
          </cell>
          <cell r="IB35" t="str">
            <v/>
          </cell>
          <cell r="IE35">
            <v>0</v>
          </cell>
          <cell r="IF35" t="str">
            <v/>
          </cell>
          <cell r="II35">
            <v>0</v>
          </cell>
          <cell r="IJ35" t="str">
            <v/>
          </cell>
          <cell r="IM35">
            <v>0</v>
          </cell>
          <cell r="IN35" t="str">
            <v/>
          </cell>
          <cell r="IQ35">
            <v>0</v>
          </cell>
          <cell r="IR35" t="str">
            <v/>
          </cell>
          <cell r="IU35">
            <v>0</v>
          </cell>
          <cell r="IV35" t="str">
            <v/>
          </cell>
          <cell r="IY35">
            <v>0</v>
          </cell>
          <cell r="IZ35" t="str">
            <v/>
          </cell>
          <cell r="JC35">
            <v>0</v>
          </cell>
          <cell r="JD35" t="str">
            <v/>
          </cell>
          <cell r="JG35">
            <v>0</v>
          </cell>
          <cell r="JH35" t="str">
            <v/>
          </cell>
          <cell r="JK35">
            <v>0</v>
          </cell>
          <cell r="JL35" t="str">
            <v/>
          </cell>
          <cell r="JO35" t="e">
            <v>#N/A</v>
          </cell>
          <cell r="JP35" t="e">
            <v>#N/A</v>
          </cell>
          <cell r="JS35" t="e">
            <v>#N/A</v>
          </cell>
          <cell r="JT35" t="e">
            <v>#N/A</v>
          </cell>
          <cell r="JW35">
            <v>0</v>
          </cell>
          <cell r="JX35" t="str">
            <v/>
          </cell>
          <cell r="KA35" t="e">
            <v>#N/A</v>
          </cell>
          <cell r="KB35" t="e">
            <v>#N/A</v>
          </cell>
          <cell r="KE35" t="e">
            <v>#N/A</v>
          </cell>
          <cell r="KF35" t="e">
            <v>#N/A</v>
          </cell>
          <cell r="KI35">
            <v>0</v>
          </cell>
          <cell r="KJ35" t="str">
            <v/>
          </cell>
          <cell r="KM35">
            <v>0</v>
          </cell>
          <cell r="KN35" t="str">
            <v/>
          </cell>
          <cell r="KQ35">
            <v>0</v>
          </cell>
          <cell r="KR35" t="str">
            <v/>
          </cell>
          <cell r="KU35" t="e">
            <v>#N/A</v>
          </cell>
          <cell r="KV35" t="e">
            <v>#N/A</v>
          </cell>
          <cell r="KY35" t="e">
            <v>#N/A</v>
          </cell>
          <cell r="KZ35" t="e">
            <v>#N/A</v>
          </cell>
          <cell r="LC35" t="e">
            <v>#N/A</v>
          </cell>
          <cell r="LD35" t="e">
            <v>#N/A</v>
          </cell>
          <cell r="LG35">
            <v>32</v>
          </cell>
          <cell r="LH35">
            <v>2067</v>
          </cell>
          <cell r="LK35">
            <v>13</v>
          </cell>
          <cell r="LL35" t="str">
            <v/>
          </cell>
          <cell r="LO35">
            <v>25</v>
          </cell>
          <cell r="LP35" t="str">
            <v/>
          </cell>
          <cell r="LS35">
            <v>4</v>
          </cell>
          <cell r="LT35" t="str">
            <v/>
          </cell>
          <cell r="LW35">
            <v>22</v>
          </cell>
          <cell r="LX35" t="str">
            <v/>
          </cell>
          <cell r="MA35">
            <v>3</v>
          </cell>
          <cell r="MB35" t="str">
            <v/>
          </cell>
          <cell r="ME35">
            <v>32</v>
          </cell>
          <cell r="MF35">
            <v>210001</v>
          </cell>
          <cell r="MI35">
            <v>32</v>
          </cell>
          <cell r="MJ35">
            <v>549400</v>
          </cell>
          <cell r="MM35">
            <v>32</v>
          </cell>
          <cell r="MN35">
            <v>98892</v>
          </cell>
          <cell r="MQ35">
            <v>32</v>
          </cell>
          <cell r="MR35">
            <v>648292</v>
          </cell>
          <cell r="MU35">
            <v>32</v>
          </cell>
          <cell r="MV35">
            <v>18646</v>
          </cell>
          <cell r="MY35">
            <v>32</v>
          </cell>
          <cell r="MZ35">
            <v>549.4</v>
          </cell>
          <cell r="NC35">
            <v>32</v>
          </cell>
          <cell r="ND35">
            <v>14586.57</v>
          </cell>
          <cell r="NG35">
            <v>32</v>
          </cell>
          <cell r="NH35">
            <v>247.23000000000002</v>
          </cell>
          <cell r="NK35">
            <v>32</v>
          </cell>
          <cell r="NL35">
            <v>14339.34</v>
          </cell>
          <cell r="NO35">
            <v>32</v>
          </cell>
          <cell r="NP35">
            <v>21411</v>
          </cell>
          <cell r="NS35">
            <v>2</v>
          </cell>
          <cell r="NT35" t="str">
            <v/>
          </cell>
          <cell r="NW35">
            <v>5</v>
          </cell>
          <cell r="NX35" t="str">
            <v/>
          </cell>
          <cell r="OA35">
            <v>32</v>
          </cell>
          <cell r="OB35">
            <v>635381</v>
          </cell>
          <cell r="OE35">
            <v>32</v>
          </cell>
          <cell r="OF35">
            <v>137350</v>
          </cell>
          <cell r="OI35">
            <v>32</v>
          </cell>
          <cell r="OJ35">
            <v>137350</v>
          </cell>
          <cell r="OM35">
            <v>6</v>
          </cell>
          <cell r="ON35" t="str">
            <v/>
          </cell>
          <cell r="OQ35">
            <v>32</v>
          </cell>
          <cell r="OR35">
            <v>498031</v>
          </cell>
          <cell r="OU35" t="e">
            <v>#N/A</v>
          </cell>
          <cell r="OV35" t="e">
            <v>#N/A</v>
          </cell>
          <cell r="OY35" t="e">
            <v>#N/A</v>
          </cell>
          <cell r="OZ35" t="e">
            <v>#N/A</v>
          </cell>
          <cell r="PC35">
            <v>32</v>
          </cell>
          <cell r="PD35">
            <v>19448.760000000002</v>
          </cell>
          <cell r="PG35" t="e">
            <v>#N/A</v>
          </cell>
          <cell r="PH35" t="e">
            <v>#N/A</v>
          </cell>
          <cell r="PK35" t="e">
            <v>#N/A</v>
          </cell>
          <cell r="PL35" t="e">
            <v>#N/A</v>
          </cell>
          <cell r="PO35">
            <v>32</v>
          </cell>
          <cell r="PP35">
            <v>608251</v>
          </cell>
          <cell r="PS35">
            <v>11</v>
          </cell>
          <cell r="PT35" t="str">
            <v/>
          </cell>
          <cell r="PW35">
            <v>1</v>
          </cell>
          <cell r="PX35" t="str">
            <v/>
          </cell>
          <cell r="QA35" t="e">
            <v>#N/A</v>
          </cell>
          <cell r="QB35" t="e">
            <v>#N/A</v>
          </cell>
          <cell r="QE35" t="e">
            <v>#N/A</v>
          </cell>
          <cell r="QF35" t="e">
            <v>#N/A</v>
          </cell>
          <cell r="QI35" t="e">
            <v>#N/A</v>
          </cell>
          <cell r="QJ35" t="e">
            <v>#N/A</v>
          </cell>
          <cell r="QR35">
            <v>22</v>
          </cell>
          <cell r="QS35" t="str">
            <v/>
          </cell>
          <cell r="QV35">
            <v>25</v>
          </cell>
          <cell r="QW35" t="str">
            <v/>
          </cell>
          <cell r="QZ35">
            <v>32</v>
          </cell>
          <cell r="RA35">
            <v>210001</v>
          </cell>
          <cell r="RD35">
            <v>4</v>
          </cell>
          <cell r="RE35" t="str">
            <v/>
          </cell>
          <cell r="RH35">
            <v>3</v>
          </cell>
          <cell r="RI35" t="str">
            <v/>
          </cell>
          <cell r="RL35">
            <v>32</v>
          </cell>
          <cell r="RM35">
            <v>2067</v>
          </cell>
          <cell r="RP35">
            <v>13</v>
          </cell>
          <cell r="RQ35" t="str">
            <v/>
          </cell>
          <cell r="RT35">
            <v>32</v>
          </cell>
          <cell r="RU35">
            <v>549400</v>
          </cell>
          <cell r="RX35">
            <v>32</v>
          </cell>
          <cell r="RY35">
            <v>98892</v>
          </cell>
          <cell r="SB35">
            <v>32</v>
          </cell>
          <cell r="SC35">
            <v>648292</v>
          </cell>
          <cell r="SF35">
            <v>32</v>
          </cell>
          <cell r="SG35">
            <v>18646</v>
          </cell>
          <cell r="SJ35">
            <v>32</v>
          </cell>
          <cell r="SK35">
            <v>549.4</v>
          </cell>
          <cell r="SN35">
            <v>32</v>
          </cell>
          <cell r="SO35">
            <v>14586.57</v>
          </cell>
          <cell r="SR35">
            <v>32</v>
          </cell>
          <cell r="SS35">
            <v>247.23000000000002</v>
          </cell>
          <cell r="SV35">
            <v>32</v>
          </cell>
          <cell r="SW35">
            <v>14339.34</v>
          </cell>
          <cell r="SZ35">
            <v>32</v>
          </cell>
          <cell r="TA35">
            <v>21411</v>
          </cell>
          <cell r="TD35">
            <v>2</v>
          </cell>
          <cell r="TE35" t="str">
            <v/>
          </cell>
          <cell r="TH35">
            <v>5</v>
          </cell>
          <cell r="TI35" t="str">
            <v/>
          </cell>
          <cell r="TL35">
            <v>32</v>
          </cell>
          <cell r="TM35">
            <v>635381</v>
          </cell>
          <cell r="TP35">
            <v>32</v>
          </cell>
          <cell r="TQ35">
            <v>137350</v>
          </cell>
          <cell r="TT35">
            <v>32</v>
          </cell>
          <cell r="TU35">
            <v>137350</v>
          </cell>
          <cell r="TX35">
            <v>6</v>
          </cell>
          <cell r="TY35" t="str">
            <v/>
          </cell>
          <cell r="UB35">
            <v>32</v>
          </cell>
          <cell r="UC35">
            <v>498031</v>
          </cell>
          <cell r="UF35" t="e">
            <v>#N/A</v>
          </cell>
          <cell r="UG35" t="e">
            <v>#N/A</v>
          </cell>
          <cell r="UJ35" t="e">
            <v>#N/A</v>
          </cell>
          <cell r="UK35" t="e">
            <v>#N/A</v>
          </cell>
          <cell r="UN35">
            <v>32</v>
          </cell>
          <cell r="UO35">
            <v>19448.760000000002</v>
          </cell>
          <cell r="UR35" t="e">
            <v>#N/A</v>
          </cell>
          <cell r="US35" t="e">
            <v>#N/A</v>
          </cell>
          <cell r="UV35" t="e">
            <v>#N/A</v>
          </cell>
          <cell r="UW35" t="e">
            <v>#N/A</v>
          </cell>
          <cell r="UZ35">
            <v>32</v>
          </cell>
          <cell r="VA35">
            <v>608251</v>
          </cell>
          <cell r="VD35">
            <v>11</v>
          </cell>
          <cell r="VE35" t="str">
            <v/>
          </cell>
          <cell r="VH35" t="e">
            <v>#N/A</v>
          </cell>
          <cell r="VI35" t="e">
            <v>#N/A</v>
          </cell>
          <cell r="VL35" t="e">
            <v>#N/A</v>
          </cell>
          <cell r="VM35" t="e">
            <v>#N/A</v>
          </cell>
          <cell r="VP35" t="e">
            <v>#N/A</v>
          </cell>
          <cell r="VQ35" t="e">
            <v>#N/A</v>
          </cell>
          <cell r="VT35" t="e">
            <v>#N/A</v>
          </cell>
          <cell r="VU35" t="e">
            <v>#N/A</v>
          </cell>
        </row>
        <row r="36">
          <cell r="A36" t="str">
            <v>+ 2069</v>
          </cell>
          <cell r="I36">
            <v>33</v>
          </cell>
          <cell r="J36" t="str">
            <v>+ 33</v>
          </cell>
          <cell r="GA36">
            <v>0</v>
          </cell>
          <cell r="GB36" t="str">
            <v/>
          </cell>
          <cell r="GE36">
            <v>0</v>
          </cell>
          <cell r="GF36" t="str">
            <v/>
          </cell>
          <cell r="GI36">
            <v>13</v>
          </cell>
          <cell r="GJ36" t="str">
            <v/>
          </cell>
          <cell r="GM36">
            <v>0</v>
          </cell>
          <cell r="GN36" t="str">
            <v/>
          </cell>
          <cell r="GQ36">
            <v>0</v>
          </cell>
          <cell r="GR36" t="str">
            <v/>
          </cell>
          <cell r="GU36">
            <v>0</v>
          </cell>
          <cell r="GV36" t="str">
            <v/>
          </cell>
          <cell r="GY36">
            <v>0</v>
          </cell>
          <cell r="GZ36" t="str">
            <v/>
          </cell>
          <cell r="HC36">
            <v>0</v>
          </cell>
          <cell r="HD36" t="str">
            <v/>
          </cell>
          <cell r="HG36">
            <v>0</v>
          </cell>
          <cell r="HH36" t="str">
            <v/>
          </cell>
          <cell r="HK36">
            <v>0</v>
          </cell>
          <cell r="HL36" t="str">
            <v/>
          </cell>
          <cell r="HO36">
            <v>0</v>
          </cell>
          <cell r="HP36" t="str">
            <v/>
          </cell>
          <cell r="HS36">
            <v>0</v>
          </cell>
          <cell r="HT36" t="str">
            <v/>
          </cell>
          <cell r="HW36">
            <v>0</v>
          </cell>
          <cell r="HX36" t="str">
            <v/>
          </cell>
          <cell r="IA36">
            <v>0</v>
          </cell>
          <cell r="IB36" t="str">
            <v/>
          </cell>
          <cell r="IE36">
            <v>0</v>
          </cell>
          <cell r="IF36" t="str">
            <v/>
          </cell>
          <cell r="II36">
            <v>0</v>
          </cell>
          <cell r="IJ36" t="str">
            <v/>
          </cell>
          <cell r="IM36">
            <v>0</v>
          </cell>
          <cell r="IN36" t="str">
            <v/>
          </cell>
          <cell r="IQ36">
            <v>0</v>
          </cell>
          <cell r="IR36" t="str">
            <v/>
          </cell>
          <cell r="IU36">
            <v>0</v>
          </cell>
          <cell r="IV36" t="str">
            <v/>
          </cell>
          <cell r="IY36">
            <v>0</v>
          </cell>
          <cell r="IZ36" t="str">
            <v/>
          </cell>
          <cell r="JC36">
            <v>0</v>
          </cell>
          <cell r="JD36" t="str">
            <v/>
          </cell>
          <cell r="JG36">
            <v>0</v>
          </cell>
          <cell r="JH36" t="str">
            <v/>
          </cell>
          <cell r="JK36">
            <v>0</v>
          </cell>
          <cell r="JL36" t="str">
            <v/>
          </cell>
          <cell r="JO36" t="e">
            <v>#N/A</v>
          </cell>
          <cell r="JP36" t="e">
            <v>#N/A</v>
          </cell>
          <cell r="JS36" t="e">
            <v>#N/A</v>
          </cell>
          <cell r="JT36" t="e">
            <v>#N/A</v>
          </cell>
          <cell r="JW36">
            <v>0</v>
          </cell>
          <cell r="JX36" t="str">
            <v/>
          </cell>
          <cell r="KA36" t="e">
            <v>#N/A</v>
          </cell>
          <cell r="KB36" t="e">
            <v>#N/A</v>
          </cell>
          <cell r="KE36" t="e">
            <v>#N/A</v>
          </cell>
          <cell r="KF36" t="e">
            <v>#N/A</v>
          </cell>
          <cell r="KI36">
            <v>0</v>
          </cell>
          <cell r="KJ36" t="str">
            <v/>
          </cell>
          <cell r="KM36">
            <v>0</v>
          </cell>
          <cell r="KN36" t="str">
            <v/>
          </cell>
          <cell r="KQ36">
            <v>0</v>
          </cell>
          <cell r="KR36" t="str">
            <v/>
          </cell>
          <cell r="KU36" t="e">
            <v>#N/A</v>
          </cell>
          <cell r="KV36" t="e">
            <v>#N/A</v>
          </cell>
          <cell r="KY36" t="e">
            <v>#N/A</v>
          </cell>
          <cell r="KZ36" t="e">
            <v>#N/A</v>
          </cell>
          <cell r="LC36" t="e">
            <v>#N/A</v>
          </cell>
          <cell r="LD36" t="e">
            <v>#N/A</v>
          </cell>
          <cell r="LG36">
            <v>33</v>
          </cell>
          <cell r="LH36">
            <v>2069</v>
          </cell>
          <cell r="LK36">
            <v>13</v>
          </cell>
          <cell r="LL36" t="str">
            <v/>
          </cell>
          <cell r="LO36">
            <v>25</v>
          </cell>
          <cell r="LP36" t="str">
            <v/>
          </cell>
          <cell r="LS36">
            <v>4</v>
          </cell>
          <cell r="LT36" t="str">
            <v/>
          </cell>
          <cell r="LW36">
            <v>22</v>
          </cell>
          <cell r="LX36" t="str">
            <v/>
          </cell>
          <cell r="MA36">
            <v>3</v>
          </cell>
          <cell r="MB36" t="str">
            <v/>
          </cell>
          <cell r="ME36">
            <v>33</v>
          </cell>
          <cell r="MF36">
            <v>220001</v>
          </cell>
          <cell r="MI36">
            <v>33</v>
          </cell>
          <cell r="MJ36">
            <v>790089</v>
          </cell>
          <cell r="MM36">
            <v>33</v>
          </cell>
          <cell r="MN36">
            <v>142216</v>
          </cell>
          <cell r="MQ36">
            <v>33</v>
          </cell>
          <cell r="MR36">
            <v>932305</v>
          </cell>
          <cell r="MU36">
            <v>33</v>
          </cell>
          <cell r="MV36">
            <v>27506</v>
          </cell>
          <cell r="MY36">
            <v>33</v>
          </cell>
          <cell r="MZ36">
            <v>790.08900000000006</v>
          </cell>
          <cell r="NC36">
            <v>33</v>
          </cell>
          <cell r="ND36">
            <v>20976.862949999999</v>
          </cell>
          <cell r="NG36">
            <v>33</v>
          </cell>
          <cell r="NH36">
            <v>355.54005000000001</v>
          </cell>
          <cell r="NK36">
            <v>33</v>
          </cell>
          <cell r="NL36">
            <v>20621.322899999999</v>
          </cell>
          <cell r="NO36">
            <v>33</v>
          </cell>
          <cell r="NP36">
            <v>31585</v>
          </cell>
          <cell r="NS36">
            <v>2</v>
          </cell>
          <cell r="NT36" t="str">
            <v/>
          </cell>
          <cell r="NW36">
            <v>5</v>
          </cell>
          <cell r="NX36" t="str">
            <v/>
          </cell>
          <cell r="OA36">
            <v>33</v>
          </cell>
          <cell r="OB36">
            <v>913738</v>
          </cell>
          <cell r="OE36">
            <v>33</v>
          </cell>
          <cell r="OF36">
            <v>197522</v>
          </cell>
          <cell r="OI36">
            <v>33</v>
          </cell>
          <cell r="OJ36">
            <v>197522</v>
          </cell>
          <cell r="OM36">
            <v>6</v>
          </cell>
          <cell r="ON36" t="str">
            <v/>
          </cell>
          <cell r="OQ36">
            <v>33</v>
          </cell>
          <cell r="OR36">
            <v>716215</v>
          </cell>
          <cell r="OU36" t="e">
            <v>#N/A</v>
          </cell>
          <cell r="OV36" t="e">
            <v>#N/A</v>
          </cell>
          <cell r="OY36" t="e">
            <v>#N/A</v>
          </cell>
          <cell r="OZ36" t="e">
            <v>#N/A</v>
          </cell>
          <cell r="PC36">
            <v>33</v>
          </cell>
          <cell r="PD36">
            <v>27969.150600000001</v>
          </cell>
          <cell r="PG36" t="e">
            <v>#N/A</v>
          </cell>
          <cell r="PH36" t="e">
            <v>#N/A</v>
          </cell>
          <cell r="PK36" t="e">
            <v>#N/A</v>
          </cell>
          <cell r="PL36" t="e">
            <v>#N/A</v>
          </cell>
          <cell r="PO36">
            <v>33</v>
          </cell>
          <cell r="PP36">
            <v>913738</v>
          </cell>
          <cell r="PS36">
            <v>11</v>
          </cell>
          <cell r="PT36" t="str">
            <v/>
          </cell>
          <cell r="PW36">
            <v>1</v>
          </cell>
          <cell r="PX36" t="str">
            <v/>
          </cell>
          <cell r="QA36" t="e">
            <v>#N/A</v>
          </cell>
          <cell r="QB36" t="e">
            <v>#N/A</v>
          </cell>
          <cell r="QE36" t="e">
            <v>#N/A</v>
          </cell>
          <cell r="QF36" t="e">
            <v>#N/A</v>
          </cell>
          <cell r="QI36" t="e">
            <v>#N/A</v>
          </cell>
          <cell r="QJ36" t="e">
            <v>#N/A</v>
          </cell>
          <cell r="QR36">
            <v>22</v>
          </cell>
          <cell r="QS36" t="str">
            <v/>
          </cell>
          <cell r="QV36">
            <v>25</v>
          </cell>
          <cell r="QW36" t="str">
            <v/>
          </cell>
          <cell r="QZ36">
            <v>33</v>
          </cell>
          <cell r="RA36">
            <v>220001</v>
          </cell>
          <cell r="RD36">
            <v>4</v>
          </cell>
          <cell r="RE36" t="str">
            <v/>
          </cell>
          <cell r="RH36">
            <v>3</v>
          </cell>
          <cell r="RI36" t="str">
            <v/>
          </cell>
          <cell r="RL36">
            <v>33</v>
          </cell>
          <cell r="RM36">
            <v>2069</v>
          </cell>
          <cell r="RP36">
            <v>13</v>
          </cell>
          <cell r="RQ36" t="str">
            <v/>
          </cell>
          <cell r="RT36">
            <v>33</v>
          </cell>
          <cell r="RU36">
            <v>790089</v>
          </cell>
          <cell r="RX36">
            <v>33</v>
          </cell>
          <cell r="RY36">
            <v>142216</v>
          </cell>
          <cell r="SB36">
            <v>33</v>
          </cell>
          <cell r="SC36">
            <v>932305</v>
          </cell>
          <cell r="SF36">
            <v>33</v>
          </cell>
          <cell r="SG36">
            <v>27506</v>
          </cell>
          <cell r="SJ36">
            <v>33</v>
          </cell>
          <cell r="SK36">
            <v>790.08900000000006</v>
          </cell>
          <cell r="SN36">
            <v>33</v>
          </cell>
          <cell r="SO36">
            <v>20976.862949999999</v>
          </cell>
          <cell r="SR36">
            <v>33</v>
          </cell>
          <cell r="SS36">
            <v>355.54005000000001</v>
          </cell>
          <cell r="SV36">
            <v>33</v>
          </cell>
          <cell r="SW36">
            <v>20621.322899999999</v>
          </cell>
          <cell r="SZ36">
            <v>33</v>
          </cell>
          <cell r="TA36">
            <v>31585</v>
          </cell>
          <cell r="TD36">
            <v>2</v>
          </cell>
          <cell r="TE36" t="str">
            <v/>
          </cell>
          <cell r="TH36">
            <v>5</v>
          </cell>
          <cell r="TI36" t="str">
            <v/>
          </cell>
          <cell r="TL36">
            <v>33</v>
          </cell>
          <cell r="TM36">
            <v>913738</v>
          </cell>
          <cell r="TP36">
            <v>33</v>
          </cell>
          <cell r="TQ36">
            <v>197522</v>
          </cell>
          <cell r="TT36">
            <v>33</v>
          </cell>
          <cell r="TU36">
            <v>197522</v>
          </cell>
          <cell r="TX36">
            <v>6</v>
          </cell>
          <cell r="TY36" t="str">
            <v/>
          </cell>
          <cell r="UB36">
            <v>33</v>
          </cell>
          <cell r="UC36">
            <v>716215</v>
          </cell>
          <cell r="UF36" t="e">
            <v>#N/A</v>
          </cell>
          <cell r="UG36" t="e">
            <v>#N/A</v>
          </cell>
          <cell r="UJ36" t="e">
            <v>#N/A</v>
          </cell>
          <cell r="UK36" t="e">
            <v>#N/A</v>
          </cell>
          <cell r="UN36">
            <v>33</v>
          </cell>
          <cell r="UO36">
            <v>27969.150600000001</v>
          </cell>
          <cell r="UR36" t="e">
            <v>#N/A</v>
          </cell>
          <cell r="US36" t="e">
            <v>#N/A</v>
          </cell>
          <cell r="UV36" t="e">
            <v>#N/A</v>
          </cell>
          <cell r="UW36" t="e">
            <v>#N/A</v>
          </cell>
          <cell r="UZ36">
            <v>33</v>
          </cell>
          <cell r="VA36">
            <v>913738</v>
          </cell>
          <cell r="VD36">
            <v>11</v>
          </cell>
          <cell r="VE36" t="str">
            <v/>
          </cell>
          <cell r="VH36" t="e">
            <v>#N/A</v>
          </cell>
          <cell r="VI36" t="e">
            <v>#N/A</v>
          </cell>
          <cell r="VL36" t="e">
            <v>#N/A</v>
          </cell>
          <cell r="VM36" t="e">
            <v>#N/A</v>
          </cell>
          <cell r="VP36" t="e">
            <v>#N/A</v>
          </cell>
          <cell r="VQ36" t="e">
            <v>#N/A</v>
          </cell>
          <cell r="VT36" t="e">
            <v>#N/A</v>
          </cell>
          <cell r="VU36" t="e">
            <v>#N/A</v>
          </cell>
        </row>
        <row r="37">
          <cell r="A37" t="str">
            <v>+ 2071</v>
          </cell>
          <cell r="I37">
            <v>34</v>
          </cell>
          <cell r="J37" t="str">
            <v>+ 34</v>
          </cell>
          <cell r="GA37">
            <v>0</v>
          </cell>
          <cell r="GB37" t="str">
            <v/>
          </cell>
          <cell r="GE37">
            <v>0</v>
          </cell>
          <cell r="GF37" t="str">
            <v/>
          </cell>
          <cell r="GI37">
            <v>13</v>
          </cell>
          <cell r="GJ37" t="str">
            <v/>
          </cell>
          <cell r="GM37">
            <v>0</v>
          </cell>
          <cell r="GN37" t="str">
            <v/>
          </cell>
          <cell r="GQ37">
            <v>0</v>
          </cell>
          <cell r="GR37" t="str">
            <v/>
          </cell>
          <cell r="GU37">
            <v>0</v>
          </cell>
          <cell r="GV37" t="str">
            <v/>
          </cell>
          <cell r="GY37">
            <v>0</v>
          </cell>
          <cell r="GZ37" t="str">
            <v/>
          </cell>
          <cell r="HC37">
            <v>0</v>
          </cell>
          <cell r="HD37" t="str">
            <v/>
          </cell>
          <cell r="HG37">
            <v>0</v>
          </cell>
          <cell r="HH37" t="str">
            <v/>
          </cell>
          <cell r="HK37">
            <v>0</v>
          </cell>
          <cell r="HL37" t="str">
            <v/>
          </cell>
          <cell r="HO37">
            <v>0</v>
          </cell>
          <cell r="HP37" t="str">
            <v/>
          </cell>
          <cell r="HS37">
            <v>0</v>
          </cell>
          <cell r="HT37" t="str">
            <v/>
          </cell>
          <cell r="HW37">
            <v>0</v>
          </cell>
          <cell r="HX37" t="str">
            <v/>
          </cell>
          <cell r="IA37">
            <v>0</v>
          </cell>
          <cell r="IB37" t="str">
            <v/>
          </cell>
          <cell r="IE37">
            <v>0</v>
          </cell>
          <cell r="IF37" t="str">
            <v/>
          </cell>
          <cell r="II37">
            <v>0</v>
          </cell>
          <cell r="IJ37" t="str">
            <v/>
          </cell>
          <cell r="IM37">
            <v>0</v>
          </cell>
          <cell r="IN37" t="str">
            <v/>
          </cell>
          <cell r="IQ37">
            <v>0</v>
          </cell>
          <cell r="IR37" t="str">
            <v/>
          </cell>
          <cell r="IU37">
            <v>0</v>
          </cell>
          <cell r="IV37" t="str">
            <v/>
          </cell>
          <cell r="IY37">
            <v>0</v>
          </cell>
          <cell r="IZ37" t="str">
            <v/>
          </cell>
          <cell r="JC37">
            <v>0</v>
          </cell>
          <cell r="JD37" t="str">
            <v/>
          </cell>
          <cell r="JG37">
            <v>0</v>
          </cell>
          <cell r="JH37" t="str">
            <v/>
          </cell>
          <cell r="JK37">
            <v>0</v>
          </cell>
          <cell r="JL37" t="str">
            <v/>
          </cell>
          <cell r="JO37" t="e">
            <v>#N/A</v>
          </cell>
          <cell r="JP37" t="e">
            <v>#N/A</v>
          </cell>
          <cell r="JS37" t="e">
            <v>#N/A</v>
          </cell>
          <cell r="JT37" t="e">
            <v>#N/A</v>
          </cell>
          <cell r="JW37">
            <v>0</v>
          </cell>
          <cell r="JX37" t="str">
            <v/>
          </cell>
          <cell r="KA37" t="e">
            <v>#N/A</v>
          </cell>
          <cell r="KB37" t="e">
            <v>#N/A</v>
          </cell>
          <cell r="KE37" t="e">
            <v>#N/A</v>
          </cell>
          <cell r="KF37" t="e">
            <v>#N/A</v>
          </cell>
          <cell r="KI37">
            <v>0</v>
          </cell>
          <cell r="KJ37" t="str">
            <v/>
          </cell>
          <cell r="KM37">
            <v>0</v>
          </cell>
          <cell r="KN37" t="str">
            <v/>
          </cell>
          <cell r="KQ37">
            <v>0</v>
          </cell>
          <cell r="KR37" t="str">
            <v/>
          </cell>
          <cell r="KU37" t="e">
            <v>#N/A</v>
          </cell>
          <cell r="KV37" t="e">
            <v>#N/A</v>
          </cell>
          <cell r="KY37" t="e">
            <v>#N/A</v>
          </cell>
          <cell r="KZ37" t="e">
            <v>#N/A</v>
          </cell>
          <cell r="LC37" t="e">
            <v>#N/A</v>
          </cell>
          <cell r="LD37" t="e">
            <v>#N/A</v>
          </cell>
          <cell r="LG37">
            <v>34</v>
          </cell>
          <cell r="LH37">
            <v>2071</v>
          </cell>
          <cell r="LK37">
            <v>13</v>
          </cell>
          <cell r="LL37" t="str">
            <v/>
          </cell>
          <cell r="LO37">
            <v>25</v>
          </cell>
          <cell r="LP37" t="str">
            <v/>
          </cell>
          <cell r="LS37">
            <v>4</v>
          </cell>
          <cell r="LT37" t="str">
            <v/>
          </cell>
          <cell r="LW37">
            <v>22</v>
          </cell>
          <cell r="LX37" t="str">
            <v/>
          </cell>
          <cell r="MA37">
            <v>3</v>
          </cell>
          <cell r="MB37" t="str">
            <v/>
          </cell>
          <cell r="ME37">
            <v>34</v>
          </cell>
          <cell r="MF37">
            <v>2787314</v>
          </cell>
          <cell r="MI37">
            <v>34</v>
          </cell>
          <cell r="MJ37">
            <v>1165500</v>
          </cell>
          <cell r="MM37">
            <v>34</v>
          </cell>
          <cell r="MN37">
            <v>209790</v>
          </cell>
          <cell r="MQ37">
            <v>34</v>
          </cell>
          <cell r="MR37">
            <v>1375290</v>
          </cell>
          <cell r="MU37">
            <v>34</v>
          </cell>
          <cell r="MV37">
            <v>38856</v>
          </cell>
          <cell r="MY37">
            <v>34</v>
          </cell>
          <cell r="MZ37">
            <v>1165.5</v>
          </cell>
          <cell r="NC37">
            <v>34</v>
          </cell>
          <cell r="ND37">
            <v>30944.024999999998</v>
          </cell>
          <cell r="NG37">
            <v>34</v>
          </cell>
          <cell r="NH37">
            <v>524.47500000000002</v>
          </cell>
          <cell r="NK37">
            <v>34</v>
          </cell>
          <cell r="NL37">
            <v>30419.55</v>
          </cell>
          <cell r="NO37">
            <v>34</v>
          </cell>
          <cell r="NP37">
            <v>44618</v>
          </cell>
          <cell r="NS37">
            <v>2</v>
          </cell>
          <cell r="NT37" t="str">
            <v/>
          </cell>
          <cell r="NW37">
            <v>5</v>
          </cell>
          <cell r="NX37" t="str">
            <v/>
          </cell>
          <cell r="OA37">
            <v>34</v>
          </cell>
          <cell r="OB37">
            <v>1347901</v>
          </cell>
          <cell r="OE37">
            <v>34</v>
          </cell>
          <cell r="OF37">
            <v>291375</v>
          </cell>
          <cell r="OI37">
            <v>34</v>
          </cell>
          <cell r="OJ37">
            <v>291375</v>
          </cell>
          <cell r="OM37">
            <v>6</v>
          </cell>
          <cell r="ON37" t="str">
            <v/>
          </cell>
          <cell r="OQ37">
            <v>34</v>
          </cell>
          <cell r="OR37">
            <v>1056526</v>
          </cell>
          <cell r="OU37" t="e">
            <v>#N/A</v>
          </cell>
          <cell r="OV37" t="e">
            <v>#N/A</v>
          </cell>
          <cell r="OY37" t="e">
            <v>#N/A</v>
          </cell>
          <cell r="OZ37" t="e">
            <v>#N/A</v>
          </cell>
          <cell r="PC37">
            <v>34</v>
          </cell>
          <cell r="PD37">
            <v>41258.699999999997</v>
          </cell>
          <cell r="PG37" t="e">
            <v>#N/A</v>
          </cell>
          <cell r="PH37" t="e">
            <v>#N/A</v>
          </cell>
          <cell r="PK37" t="e">
            <v>#N/A</v>
          </cell>
          <cell r="PL37" t="e">
            <v>#N/A</v>
          </cell>
          <cell r="PO37">
            <v>34</v>
          </cell>
          <cell r="PP37">
            <v>1347900</v>
          </cell>
          <cell r="PS37">
            <v>11</v>
          </cell>
          <cell r="PT37" t="str">
            <v/>
          </cell>
          <cell r="PW37">
            <v>1</v>
          </cell>
          <cell r="PX37" t="str">
            <v/>
          </cell>
          <cell r="QA37" t="e">
            <v>#N/A</v>
          </cell>
          <cell r="QB37" t="e">
            <v>#N/A</v>
          </cell>
          <cell r="QE37" t="e">
            <v>#N/A</v>
          </cell>
          <cell r="QF37" t="e">
            <v>#N/A</v>
          </cell>
          <cell r="QI37" t="e">
            <v>#N/A</v>
          </cell>
          <cell r="QJ37" t="e">
            <v>#N/A</v>
          </cell>
          <cell r="QR37">
            <v>22</v>
          </cell>
          <cell r="QS37" t="str">
            <v/>
          </cell>
          <cell r="QV37">
            <v>25</v>
          </cell>
          <cell r="QW37" t="str">
            <v/>
          </cell>
          <cell r="QZ37">
            <v>34</v>
          </cell>
          <cell r="RA37">
            <v>2787314</v>
          </cell>
          <cell r="RD37">
            <v>4</v>
          </cell>
          <cell r="RE37" t="str">
            <v/>
          </cell>
          <cell r="RH37">
            <v>3</v>
          </cell>
          <cell r="RI37" t="str">
            <v/>
          </cell>
          <cell r="RL37">
            <v>34</v>
          </cell>
          <cell r="RM37">
            <v>2071</v>
          </cell>
          <cell r="RP37">
            <v>13</v>
          </cell>
          <cell r="RQ37" t="str">
            <v/>
          </cell>
          <cell r="RT37">
            <v>34</v>
          </cell>
          <cell r="RU37">
            <v>1165500</v>
          </cell>
          <cell r="RX37">
            <v>34</v>
          </cell>
          <cell r="RY37">
            <v>209790</v>
          </cell>
          <cell r="SB37">
            <v>34</v>
          </cell>
          <cell r="SC37">
            <v>1375290</v>
          </cell>
          <cell r="SF37">
            <v>34</v>
          </cell>
          <cell r="SG37">
            <v>38856</v>
          </cell>
          <cell r="SJ37">
            <v>34</v>
          </cell>
          <cell r="SK37">
            <v>1165.5</v>
          </cell>
          <cell r="SN37">
            <v>34</v>
          </cell>
          <cell r="SO37">
            <v>30944.024999999998</v>
          </cell>
          <cell r="SR37">
            <v>34</v>
          </cell>
          <cell r="SS37">
            <v>524.47500000000002</v>
          </cell>
          <cell r="SV37">
            <v>34</v>
          </cell>
          <cell r="SW37">
            <v>30419.55</v>
          </cell>
          <cell r="SZ37">
            <v>34</v>
          </cell>
          <cell r="TA37">
            <v>44618</v>
          </cell>
          <cell r="TD37">
            <v>2</v>
          </cell>
          <cell r="TE37" t="str">
            <v/>
          </cell>
          <cell r="TH37">
            <v>5</v>
          </cell>
          <cell r="TI37" t="str">
            <v/>
          </cell>
          <cell r="TL37">
            <v>34</v>
          </cell>
          <cell r="TM37">
            <v>1347901</v>
          </cell>
          <cell r="TP37">
            <v>34</v>
          </cell>
          <cell r="TQ37">
            <v>291375</v>
          </cell>
          <cell r="TT37">
            <v>34</v>
          </cell>
          <cell r="TU37">
            <v>291375</v>
          </cell>
          <cell r="TX37">
            <v>6</v>
          </cell>
          <cell r="TY37" t="str">
            <v/>
          </cell>
          <cell r="UB37">
            <v>34</v>
          </cell>
          <cell r="UC37">
            <v>1056526</v>
          </cell>
          <cell r="UF37" t="e">
            <v>#N/A</v>
          </cell>
          <cell r="UG37" t="e">
            <v>#N/A</v>
          </cell>
          <cell r="UJ37" t="e">
            <v>#N/A</v>
          </cell>
          <cell r="UK37" t="e">
            <v>#N/A</v>
          </cell>
          <cell r="UN37">
            <v>34</v>
          </cell>
          <cell r="UO37">
            <v>41258.699999999997</v>
          </cell>
          <cell r="UR37" t="e">
            <v>#N/A</v>
          </cell>
          <cell r="US37" t="e">
            <v>#N/A</v>
          </cell>
          <cell r="UV37" t="e">
            <v>#N/A</v>
          </cell>
          <cell r="UW37" t="e">
            <v>#N/A</v>
          </cell>
          <cell r="UZ37">
            <v>34</v>
          </cell>
          <cell r="VA37">
            <v>1347900</v>
          </cell>
          <cell r="VD37">
            <v>11</v>
          </cell>
          <cell r="VE37" t="str">
            <v/>
          </cell>
          <cell r="VH37" t="e">
            <v>#N/A</v>
          </cell>
          <cell r="VI37" t="e">
            <v>#N/A</v>
          </cell>
          <cell r="VL37" t="e">
            <v>#N/A</v>
          </cell>
          <cell r="VM37" t="e">
            <v>#N/A</v>
          </cell>
          <cell r="VP37" t="e">
            <v>#N/A</v>
          </cell>
          <cell r="VQ37" t="e">
            <v>#N/A</v>
          </cell>
          <cell r="VT37" t="e">
            <v>#N/A</v>
          </cell>
          <cell r="VU37" t="e">
            <v>#N/A</v>
          </cell>
        </row>
        <row r="38">
          <cell r="A38" t="str">
            <v>+ 2086</v>
          </cell>
          <cell r="I38">
            <v>35</v>
          </cell>
          <cell r="J38" t="str">
            <v>+ 35</v>
          </cell>
          <cell r="GA38">
            <v>0</v>
          </cell>
          <cell r="GB38" t="str">
            <v/>
          </cell>
          <cell r="GE38">
            <v>0</v>
          </cell>
          <cell r="GF38" t="str">
            <v/>
          </cell>
          <cell r="GI38">
            <v>13</v>
          </cell>
          <cell r="GJ38" t="str">
            <v/>
          </cell>
          <cell r="GM38">
            <v>0</v>
          </cell>
          <cell r="GN38" t="str">
            <v/>
          </cell>
          <cell r="GQ38">
            <v>0</v>
          </cell>
          <cell r="GR38" t="str">
            <v/>
          </cell>
          <cell r="GU38">
            <v>0</v>
          </cell>
          <cell r="GV38" t="str">
            <v/>
          </cell>
          <cell r="GY38">
            <v>0</v>
          </cell>
          <cell r="GZ38" t="str">
            <v/>
          </cell>
          <cell r="HC38">
            <v>0</v>
          </cell>
          <cell r="HD38" t="str">
            <v/>
          </cell>
          <cell r="HG38">
            <v>0</v>
          </cell>
          <cell r="HH38" t="str">
            <v/>
          </cell>
          <cell r="HK38">
            <v>0</v>
          </cell>
          <cell r="HL38" t="str">
            <v/>
          </cell>
          <cell r="HO38">
            <v>0</v>
          </cell>
          <cell r="HP38" t="str">
            <v/>
          </cell>
          <cell r="HS38">
            <v>0</v>
          </cell>
          <cell r="HT38" t="str">
            <v/>
          </cell>
          <cell r="HW38">
            <v>0</v>
          </cell>
          <cell r="HX38" t="str">
            <v/>
          </cell>
          <cell r="IA38">
            <v>0</v>
          </cell>
          <cell r="IB38" t="str">
            <v/>
          </cell>
          <cell r="IE38">
            <v>0</v>
          </cell>
          <cell r="IF38" t="str">
            <v/>
          </cell>
          <cell r="II38">
            <v>0</v>
          </cell>
          <cell r="IJ38" t="str">
            <v/>
          </cell>
          <cell r="IM38">
            <v>0</v>
          </cell>
          <cell r="IN38" t="str">
            <v/>
          </cell>
          <cell r="IQ38">
            <v>0</v>
          </cell>
          <cell r="IR38" t="str">
            <v/>
          </cell>
          <cell r="IU38">
            <v>0</v>
          </cell>
          <cell r="IV38" t="str">
            <v/>
          </cell>
          <cell r="IY38">
            <v>0</v>
          </cell>
          <cell r="IZ38" t="str">
            <v/>
          </cell>
          <cell r="JC38">
            <v>0</v>
          </cell>
          <cell r="JD38" t="str">
            <v/>
          </cell>
          <cell r="JG38">
            <v>0</v>
          </cell>
          <cell r="JH38" t="str">
            <v/>
          </cell>
          <cell r="JK38">
            <v>0</v>
          </cell>
          <cell r="JL38" t="str">
            <v/>
          </cell>
          <cell r="JO38" t="e">
            <v>#N/A</v>
          </cell>
          <cell r="JP38" t="e">
            <v>#N/A</v>
          </cell>
          <cell r="JS38" t="e">
            <v>#N/A</v>
          </cell>
          <cell r="JT38" t="e">
            <v>#N/A</v>
          </cell>
          <cell r="JW38">
            <v>0</v>
          </cell>
          <cell r="JX38" t="str">
            <v/>
          </cell>
          <cell r="KA38" t="e">
            <v>#N/A</v>
          </cell>
          <cell r="KB38" t="e">
            <v>#N/A</v>
          </cell>
          <cell r="KE38" t="e">
            <v>#N/A</v>
          </cell>
          <cell r="KF38" t="e">
            <v>#N/A</v>
          </cell>
          <cell r="KI38">
            <v>0</v>
          </cell>
          <cell r="KJ38" t="str">
            <v/>
          </cell>
          <cell r="KM38">
            <v>0</v>
          </cell>
          <cell r="KN38" t="str">
            <v/>
          </cell>
          <cell r="KQ38">
            <v>0</v>
          </cell>
          <cell r="KR38" t="str">
            <v/>
          </cell>
          <cell r="KU38" t="e">
            <v>#N/A</v>
          </cell>
          <cell r="KV38" t="e">
            <v>#N/A</v>
          </cell>
          <cell r="KY38" t="e">
            <v>#N/A</v>
          </cell>
          <cell r="KZ38" t="e">
            <v>#N/A</v>
          </cell>
          <cell r="LC38" t="e">
            <v>#N/A</v>
          </cell>
          <cell r="LD38" t="e">
            <v>#N/A</v>
          </cell>
          <cell r="LG38">
            <v>35</v>
          </cell>
          <cell r="LH38">
            <v>2086</v>
          </cell>
          <cell r="LK38">
            <v>13</v>
          </cell>
          <cell r="LL38" t="str">
            <v/>
          </cell>
          <cell r="LO38">
            <v>25</v>
          </cell>
          <cell r="LP38" t="str">
            <v/>
          </cell>
          <cell r="LS38">
            <v>4</v>
          </cell>
          <cell r="LT38" t="str">
            <v/>
          </cell>
          <cell r="LW38">
            <v>22</v>
          </cell>
          <cell r="LX38" t="str">
            <v/>
          </cell>
          <cell r="MA38">
            <v>3</v>
          </cell>
          <cell r="MB38" t="str">
            <v/>
          </cell>
          <cell r="ME38">
            <v>35</v>
          </cell>
          <cell r="MF38">
            <v>3857116</v>
          </cell>
          <cell r="MI38">
            <v>35</v>
          </cell>
          <cell r="MJ38">
            <v>1646431</v>
          </cell>
          <cell r="MM38">
            <v>35</v>
          </cell>
          <cell r="MN38">
            <v>296358</v>
          </cell>
          <cell r="MQ38">
            <v>35</v>
          </cell>
          <cell r="MR38">
            <v>1942789</v>
          </cell>
          <cell r="MU38">
            <v>35</v>
          </cell>
          <cell r="MV38">
            <v>65781</v>
          </cell>
          <cell r="MY38">
            <v>35</v>
          </cell>
          <cell r="MZ38">
            <v>1646.431</v>
          </cell>
          <cell r="NC38">
            <v>35</v>
          </cell>
          <cell r="ND38">
            <v>43712.743049999997</v>
          </cell>
          <cell r="NG38">
            <v>35</v>
          </cell>
          <cell r="NH38">
            <v>740.89395000000002</v>
          </cell>
          <cell r="NK38">
            <v>35</v>
          </cell>
          <cell r="NL38">
            <v>42971.849099999999</v>
          </cell>
          <cell r="NO38">
            <v>35</v>
          </cell>
          <cell r="NP38">
            <v>75536</v>
          </cell>
          <cell r="NS38">
            <v>2</v>
          </cell>
          <cell r="NT38" t="str">
            <v/>
          </cell>
          <cell r="NW38">
            <v>5</v>
          </cell>
          <cell r="NX38" t="str">
            <v/>
          </cell>
          <cell r="OA38">
            <v>35</v>
          </cell>
          <cell r="OB38">
            <v>1904097</v>
          </cell>
          <cell r="OE38">
            <v>35</v>
          </cell>
          <cell r="OF38">
            <v>411608</v>
          </cell>
          <cell r="OI38">
            <v>35</v>
          </cell>
          <cell r="OJ38">
            <v>411608</v>
          </cell>
          <cell r="OM38">
            <v>6</v>
          </cell>
          <cell r="ON38" t="str">
            <v/>
          </cell>
          <cell r="OQ38">
            <v>35</v>
          </cell>
          <cell r="OR38">
            <v>1492489</v>
          </cell>
          <cell r="OU38" t="e">
            <v>#N/A</v>
          </cell>
          <cell r="OV38" t="e">
            <v>#N/A</v>
          </cell>
          <cell r="OY38" t="e">
            <v>#N/A</v>
          </cell>
          <cell r="OZ38" t="e">
            <v>#N/A</v>
          </cell>
          <cell r="PC38">
            <v>35</v>
          </cell>
          <cell r="PD38">
            <v>58283.657399999996</v>
          </cell>
          <cell r="PG38" t="e">
            <v>#N/A</v>
          </cell>
          <cell r="PH38" t="e">
            <v>#N/A</v>
          </cell>
          <cell r="PK38" t="e">
            <v>#N/A</v>
          </cell>
          <cell r="PL38" t="e">
            <v>#N/A</v>
          </cell>
          <cell r="PO38">
            <v>35</v>
          </cell>
          <cell r="PP38">
            <v>1904098</v>
          </cell>
          <cell r="PS38">
            <v>11</v>
          </cell>
          <cell r="PT38" t="str">
            <v/>
          </cell>
          <cell r="PW38">
            <v>1</v>
          </cell>
          <cell r="PX38" t="str">
            <v/>
          </cell>
          <cell r="QA38" t="e">
            <v>#N/A</v>
          </cell>
          <cell r="QB38" t="e">
            <v>#N/A</v>
          </cell>
          <cell r="QE38" t="e">
            <v>#N/A</v>
          </cell>
          <cell r="QF38" t="e">
            <v>#N/A</v>
          </cell>
          <cell r="QI38" t="e">
            <v>#N/A</v>
          </cell>
          <cell r="QJ38" t="e">
            <v>#N/A</v>
          </cell>
          <cell r="QR38">
            <v>22</v>
          </cell>
          <cell r="QS38" t="str">
            <v/>
          </cell>
          <cell r="QV38">
            <v>25</v>
          </cell>
          <cell r="QW38" t="str">
            <v/>
          </cell>
          <cell r="QZ38">
            <v>35</v>
          </cell>
          <cell r="RA38">
            <v>3857116</v>
          </cell>
          <cell r="RD38">
            <v>4</v>
          </cell>
          <cell r="RE38" t="str">
            <v/>
          </cell>
          <cell r="RH38">
            <v>3</v>
          </cell>
          <cell r="RI38" t="str">
            <v/>
          </cell>
          <cell r="RL38">
            <v>35</v>
          </cell>
          <cell r="RM38">
            <v>2086</v>
          </cell>
          <cell r="RP38">
            <v>13</v>
          </cell>
          <cell r="RQ38" t="str">
            <v/>
          </cell>
          <cell r="RT38">
            <v>35</v>
          </cell>
          <cell r="RU38">
            <v>1646431</v>
          </cell>
          <cell r="RX38">
            <v>35</v>
          </cell>
          <cell r="RY38">
            <v>296358</v>
          </cell>
          <cell r="SB38">
            <v>35</v>
          </cell>
          <cell r="SC38">
            <v>1942789</v>
          </cell>
          <cell r="SF38">
            <v>35</v>
          </cell>
          <cell r="SG38">
            <v>65781</v>
          </cell>
          <cell r="SJ38">
            <v>35</v>
          </cell>
          <cell r="SK38">
            <v>1646.431</v>
          </cell>
          <cell r="SN38">
            <v>35</v>
          </cell>
          <cell r="SO38">
            <v>43712.743049999997</v>
          </cell>
          <cell r="SR38">
            <v>35</v>
          </cell>
          <cell r="SS38">
            <v>740.89395000000002</v>
          </cell>
          <cell r="SV38">
            <v>35</v>
          </cell>
          <cell r="SW38">
            <v>42971.849099999999</v>
          </cell>
          <cell r="SZ38">
            <v>35</v>
          </cell>
          <cell r="TA38">
            <v>75536</v>
          </cell>
          <cell r="TD38">
            <v>2</v>
          </cell>
          <cell r="TE38" t="str">
            <v/>
          </cell>
          <cell r="TH38">
            <v>5</v>
          </cell>
          <cell r="TI38" t="str">
            <v/>
          </cell>
          <cell r="TL38">
            <v>35</v>
          </cell>
          <cell r="TM38">
            <v>1904097</v>
          </cell>
          <cell r="TP38">
            <v>35</v>
          </cell>
          <cell r="TQ38">
            <v>411608</v>
          </cell>
          <cell r="TT38">
            <v>35</v>
          </cell>
          <cell r="TU38">
            <v>411608</v>
          </cell>
          <cell r="TX38">
            <v>6</v>
          </cell>
          <cell r="TY38" t="str">
            <v/>
          </cell>
          <cell r="UB38">
            <v>35</v>
          </cell>
          <cell r="UC38">
            <v>1492489</v>
          </cell>
          <cell r="UF38" t="e">
            <v>#N/A</v>
          </cell>
          <cell r="UG38" t="e">
            <v>#N/A</v>
          </cell>
          <cell r="UJ38" t="e">
            <v>#N/A</v>
          </cell>
          <cell r="UK38" t="e">
            <v>#N/A</v>
          </cell>
          <cell r="UN38">
            <v>35</v>
          </cell>
          <cell r="UO38">
            <v>58283.657399999996</v>
          </cell>
          <cell r="UR38" t="e">
            <v>#N/A</v>
          </cell>
          <cell r="US38" t="e">
            <v>#N/A</v>
          </cell>
          <cell r="UV38" t="e">
            <v>#N/A</v>
          </cell>
          <cell r="UW38" t="e">
            <v>#N/A</v>
          </cell>
          <cell r="UZ38">
            <v>35</v>
          </cell>
          <cell r="VA38">
            <v>1904098</v>
          </cell>
          <cell r="VD38">
            <v>11</v>
          </cell>
          <cell r="VE38" t="str">
            <v/>
          </cell>
          <cell r="VH38" t="e">
            <v>#N/A</v>
          </cell>
          <cell r="VI38" t="e">
            <v>#N/A</v>
          </cell>
          <cell r="VL38" t="e">
            <v>#N/A</v>
          </cell>
          <cell r="VM38" t="e">
            <v>#N/A</v>
          </cell>
          <cell r="VP38" t="e">
            <v>#N/A</v>
          </cell>
          <cell r="VQ38" t="e">
            <v>#N/A</v>
          </cell>
          <cell r="VT38" t="e">
            <v>#N/A</v>
          </cell>
          <cell r="VU38" t="e">
            <v>#N/A</v>
          </cell>
        </row>
        <row r="39">
          <cell r="A39" t="str">
            <v>+ 2089</v>
          </cell>
          <cell r="I39">
            <v>36</v>
          </cell>
          <cell r="J39" t="str">
            <v>+ 36</v>
          </cell>
          <cell r="GA39">
            <v>0</v>
          </cell>
          <cell r="GB39" t="str">
            <v/>
          </cell>
          <cell r="GE39">
            <v>0</v>
          </cell>
          <cell r="GF39" t="str">
            <v/>
          </cell>
          <cell r="GI39">
            <v>13</v>
          </cell>
          <cell r="GJ39" t="str">
            <v/>
          </cell>
          <cell r="GM39">
            <v>0</v>
          </cell>
          <cell r="GN39" t="str">
            <v/>
          </cell>
          <cell r="GQ39">
            <v>0</v>
          </cell>
          <cell r="GR39" t="str">
            <v/>
          </cell>
          <cell r="GU39">
            <v>0</v>
          </cell>
          <cell r="GV39" t="str">
            <v/>
          </cell>
          <cell r="GY39">
            <v>0</v>
          </cell>
          <cell r="GZ39" t="str">
            <v/>
          </cell>
          <cell r="HC39">
            <v>0</v>
          </cell>
          <cell r="HD39" t="str">
            <v/>
          </cell>
          <cell r="HG39">
            <v>0</v>
          </cell>
          <cell r="HH39" t="str">
            <v/>
          </cell>
          <cell r="HK39">
            <v>0</v>
          </cell>
          <cell r="HL39" t="str">
            <v/>
          </cell>
          <cell r="HO39">
            <v>0</v>
          </cell>
          <cell r="HP39" t="str">
            <v/>
          </cell>
          <cell r="HS39">
            <v>0</v>
          </cell>
          <cell r="HT39" t="str">
            <v/>
          </cell>
          <cell r="HW39">
            <v>0</v>
          </cell>
          <cell r="HX39" t="str">
            <v/>
          </cell>
          <cell r="IA39">
            <v>0</v>
          </cell>
          <cell r="IB39" t="str">
            <v/>
          </cell>
          <cell r="IE39">
            <v>0</v>
          </cell>
          <cell r="IF39" t="str">
            <v/>
          </cell>
          <cell r="II39">
            <v>0</v>
          </cell>
          <cell r="IJ39" t="str">
            <v/>
          </cell>
          <cell r="IM39">
            <v>0</v>
          </cell>
          <cell r="IN39" t="str">
            <v/>
          </cell>
          <cell r="IQ39">
            <v>0</v>
          </cell>
          <cell r="IR39" t="str">
            <v/>
          </cell>
          <cell r="IU39">
            <v>0</v>
          </cell>
          <cell r="IV39" t="str">
            <v/>
          </cell>
          <cell r="IY39">
            <v>0</v>
          </cell>
          <cell r="IZ39" t="str">
            <v/>
          </cell>
          <cell r="JC39">
            <v>0</v>
          </cell>
          <cell r="JD39" t="str">
            <v/>
          </cell>
          <cell r="JG39">
            <v>0</v>
          </cell>
          <cell r="JH39" t="str">
            <v/>
          </cell>
          <cell r="JK39">
            <v>0</v>
          </cell>
          <cell r="JL39" t="str">
            <v/>
          </cell>
          <cell r="JO39" t="e">
            <v>#N/A</v>
          </cell>
          <cell r="JP39" t="e">
            <v>#N/A</v>
          </cell>
          <cell r="JS39" t="e">
            <v>#N/A</v>
          </cell>
          <cell r="JT39" t="e">
            <v>#N/A</v>
          </cell>
          <cell r="JW39">
            <v>0</v>
          </cell>
          <cell r="JX39" t="str">
            <v/>
          </cell>
          <cell r="KA39" t="e">
            <v>#N/A</v>
          </cell>
          <cell r="KB39" t="e">
            <v>#N/A</v>
          </cell>
          <cell r="KE39" t="e">
            <v>#N/A</v>
          </cell>
          <cell r="KF39" t="e">
            <v>#N/A</v>
          </cell>
          <cell r="KI39">
            <v>0</v>
          </cell>
          <cell r="KJ39" t="str">
            <v/>
          </cell>
          <cell r="KM39">
            <v>0</v>
          </cell>
          <cell r="KN39" t="str">
            <v/>
          </cell>
          <cell r="KQ39">
            <v>0</v>
          </cell>
          <cell r="KR39" t="str">
            <v/>
          </cell>
          <cell r="KU39" t="e">
            <v>#N/A</v>
          </cell>
          <cell r="KV39" t="e">
            <v>#N/A</v>
          </cell>
          <cell r="KY39" t="e">
            <v>#N/A</v>
          </cell>
          <cell r="KZ39" t="e">
            <v>#N/A</v>
          </cell>
          <cell r="LC39" t="e">
            <v>#N/A</v>
          </cell>
          <cell r="LD39" t="e">
            <v>#N/A</v>
          </cell>
          <cell r="LG39">
            <v>36</v>
          </cell>
          <cell r="LH39">
            <v>2089</v>
          </cell>
          <cell r="LK39">
            <v>13</v>
          </cell>
          <cell r="LL39" t="str">
            <v/>
          </cell>
          <cell r="LO39">
            <v>25</v>
          </cell>
          <cell r="LP39" t="str">
            <v/>
          </cell>
          <cell r="LS39">
            <v>4</v>
          </cell>
          <cell r="LT39" t="str">
            <v/>
          </cell>
          <cell r="LW39">
            <v>22</v>
          </cell>
          <cell r="LX39" t="str">
            <v/>
          </cell>
          <cell r="MA39">
            <v>3</v>
          </cell>
          <cell r="MB39" t="str">
            <v/>
          </cell>
          <cell r="ME39">
            <v>35</v>
          </cell>
          <cell r="MF39" t="str">
            <v/>
          </cell>
          <cell r="MI39">
            <v>36</v>
          </cell>
          <cell r="MJ39">
            <v>2787314</v>
          </cell>
          <cell r="MM39">
            <v>36</v>
          </cell>
          <cell r="MN39">
            <v>501717</v>
          </cell>
          <cell r="MQ39">
            <v>36</v>
          </cell>
          <cell r="MR39">
            <v>3289031</v>
          </cell>
          <cell r="MU39">
            <v>36</v>
          </cell>
          <cell r="MV39">
            <v>91028</v>
          </cell>
          <cell r="MY39">
            <v>36</v>
          </cell>
          <cell r="MZ39">
            <v>2787.3139999999999</v>
          </cell>
          <cell r="NC39">
            <v>36</v>
          </cell>
          <cell r="ND39">
            <v>74003.186699999991</v>
          </cell>
          <cell r="NG39">
            <v>36</v>
          </cell>
          <cell r="NH39">
            <v>1254.2912999999999</v>
          </cell>
          <cell r="NK39">
            <v>36</v>
          </cell>
          <cell r="NL39">
            <v>72748.895399999994</v>
          </cell>
          <cell r="NO39">
            <v>36</v>
          </cell>
          <cell r="NP39">
            <v>104528</v>
          </cell>
          <cell r="NS39">
            <v>2</v>
          </cell>
          <cell r="NT39" t="str">
            <v/>
          </cell>
          <cell r="NW39">
            <v>5</v>
          </cell>
          <cell r="NX39" t="str">
            <v/>
          </cell>
          <cell r="OA39">
            <v>36</v>
          </cell>
          <cell r="OB39">
            <v>3279275</v>
          </cell>
          <cell r="OE39">
            <v>36</v>
          </cell>
          <cell r="OF39">
            <v>696829</v>
          </cell>
          <cell r="OI39">
            <v>36</v>
          </cell>
          <cell r="OJ39">
            <v>696829</v>
          </cell>
          <cell r="OM39">
            <v>6</v>
          </cell>
          <cell r="ON39" t="str">
            <v/>
          </cell>
          <cell r="OQ39">
            <v>36</v>
          </cell>
          <cell r="OR39">
            <v>2582446</v>
          </cell>
          <cell r="OU39" t="e">
            <v>#N/A</v>
          </cell>
          <cell r="OV39" t="e">
            <v>#N/A</v>
          </cell>
          <cell r="OY39" t="e">
            <v>#N/A</v>
          </cell>
          <cell r="OZ39" t="e">
            <v>#N/A</v>
          </cell>
          <cell r="PC39">
            <v>36</v>
          </cell>
          <cell r="PD39">
            <v>98670.915600000008</v>
          </cell>
          <cell r="PG39" t="e">
            <v>#N/A</v>
          </cell>
          <cell r="PH39" t="e">
            <v>#N/A</v>
          </cell>
          <cell r="PK39" t="e">
            <v>#N/A</v>
          </cell>
          <cell r="PL39" t="e">
            <v>#N/A</v>
          </cell>
          <cell r="PO39">
            <v>36</v>
          </cell>
          <cell r="PP39">
            <v>3279276.0942916102</v>
          </cell>
          <cell r="PS39">
            <v>11</v>
          </cell>
          <cell r="PT39" t="str">
            <v/>
          </cell>
          <cell r="PW39">
            <v>1</v>
          </cell>
          <cell r="PX39" t="str">
            <v/>
          </cell>
          <cell r="QA39" t="e">
            <v>#N/A</v>
          </cell>
          <cell r="QB39" t="e">
            <v>#N/A</v>
          </cell>
          <cell r="QE39" t="e">
            <v>#N/A</v>
          </cell>
          <cell r="QF39" t="e">
            <v>#N/A</v>
          </cell>
          <cell r="QI39" t="e">
            <v>#N/A</v>
          </cell>
          <cell r="QJ39" t="e">
            <v>#N/A</v>
          </cell>
          <cell r="QR39">
            <v>22</v>
          </cell>
          <cell r="QS39" t="str">
            <v/>
          </cell>
          <cell r="QV39">
            <v>25</v>
          </cell>
          <cell r="QW39" t="str">
            <v/>
          </cell>
          <cell r="QZ39">
            <v>35</v>
          </cell>
          <cell r="RA39" t="str">
            <v/>
          </cell>
          <cell r="RD39">
            <v>4</v>
          </cell>
          <cell r="RE39" t="str">
            <v/>
          </cell>
          <cell r="RH39">
            <v>3</v>
          </cell>
          <cell r="RI39" t="str">
            <v/>
          </cell>
          <cell r="RL39">
            <v>36</v>
          </cell>
          <cell r="RM39">
            <v>2089</v>
          </cell>
          <cell r="RP39">
            <v>13</v>
          </cell>
          <cell r="RQ39" t="str">
            <v/>
          </cell>
          <cell r="RT39">
            <v>36</v>
          </cell>
          <cell r="RU39">
            <v>2787314</v>
          </cell>
          <cell r="RX39">
            <v>36</v>
          </cell>
          <cell r="RY39">
            <v>501717</v>
          </cell>
          <cell r="SB39">
            <v>36</v>
          </cell>
          <cell r="SC39">
            <v>3289031</v>
          </cell>
          <cell r="SF39">
            <v>36</v>
          </cell>
          <cell r="SG39">
            <v>91028</v>
          </cell>
          <cell r="SJ39">
            <v>36</v>
          </cell>
          <cell r="SK39">
            <v>2787.3139999999999</v>
          </cell>
          <cell r="SN39">
            <v>36</v>
          </cell>
          <cell r="SO39">
            <v>74003.186699999991</v>
          </cell>
          <cell r="SR39">
            <v>36</v>
          </cell>
          <cell r="SS39">
            <v>1254.2912999999999</v>
          </cell>
          <cell r="SV39">
            <v>36</v>
          </cell>
          <cell r="SW39">
            <v>72748.895399999994</v>
          </cell>
          <cell r="SZ39">
            <v>36</v>
          </cell>
          <cell r="TA39">
            <v>104528</v>
          </cell>
          <cell r="TD39">
            <v>2</v>
          </cell>
          <cell r="TE39" t="str">
            <v/>
          </cell>
          <cell r="TH39">
            <v>5</v>
          </cell>
          <cell r="TI39" t="str">
            <v/>
          </cell>
          <cell r="TL39">
            <v>36</v>
          </cell>
          <cell r="TM39">
            <v>3279275</v>
          </cell>
          <cell r="TP39">
            <v>36</v>
          </cell>
          <cell r="TQ39">
            <v>696829</v>
          </cell>
          <cell r="TT39">
            <v>36</v>
          </cell>
          <cell r="TU39">
            <v>696829</v>
          </cell>
          <cell r="TX39">
            <v>6</v>
          </cell>
          <cell r="TY39" t="str">
            <v/>
          </cell>
          <cell r="UB39">
            <v>36</v>
          </cell>
          <cell r="UC39">
            <v>2582446</v>
          </cell>
          <cell r="UF39" t="e">
            <v>#N/A</v>
          </cell>
          <cell r="UG39" t="e">
            <v>#N/A</v>
          </cell>
          <cell r="UJ39" t="e">
            <v>#N/A</v>
          </cell>
          <cell r="UK39" t="e">
            <v>#N/A</v>
          </cell>
          <cell r="UN39">
            <v>36</v>
          </cell>
          <cell r="UO39">
            <v>98670.915600000008</v>
          </cell>
          <cell r="UR39" t="e">
            <v>#N/A</v>
          </cell>
          <cell r="US39" t="e">
            <v>#N/A</v>
          </cell>
          <cell r="UV39" t="e">
            <v>#N/A</v>
          </cell>
          <cell r="UW39" t="e">
            <v>#N/A</v>
          </cell>
          <cell r="UZ39">
            <v>36</v>
          </cell>
          <cell r="VA39">
            <v>3279276.0942916102</v>
          </cell>
          <cell r="VD39">
            <v>11</v>
          </cell>
          <cell r="VE39" t="str">
            <v/>
          </cell>
          <cell r="VH39" t="e">
            <v>#N/A</v>
          </cell>
          <cell r="VI39" t="e">
            <v>#N/A</v>
          </cell>
          <cell r="VL39" t="e">
            <v>#N/A</v>
          </cell>
          <cell r="VM39" t="e">
            <v>#N/A</v>
          </cell>
          <cell r="VP39" t="e">
            <v>#N/A</v>
          </cell>
          <cell r="VQ39" t="e">
            <v>#N/A</v>
          </cell>
          <cell r="VT39" t="e">
            <v>#N/A</v>
          </cell>
          <cell r="VU39" t="e">
            <v>#N/A</v>
          </cell>
        </row>
        <row r="40">
          <cell r="A40" t="str">
            <v>+ 2091</v>
          </cell>
          <cell r="I40">
            <v>37</v>
          </cell>
          <cell r="J40" t="str">
            <v>+ 37</v>
          </cell>
          <cell r="GA40">
            <v>0</v>
          </cell>
          <cell r="GB40" t="str">
            <v/>
          </cell>
          <cell r="GE40">
            <v>0</v>
          </cell>
          <cell r="GF40" t="str">
            <v/>
          </cell>
          <cell r="GI40">
            <v>13</v>
          </cell>
          <cell r="GJ40" t="str">
            <v/>
          </cell>
          <cell r="GM40">
            <v>0</v>
          </cell>
          <cell r="GN40" t="str">
            <v/>
          </cell>
          <cell r="GQ40">
            <v>0</v>
          </cell>
          <cell r="GR40" t="str">
            <v/>
          </cell>
          <cell r="GU40">
            <v>0</v>
          </cell>
          <cell r="GV40" t="str">
            <v/>
          </cell>
          <cell r="GY40">
            <v>0</v>
          </cell>
          <cell r="GZ40" t="str">
            <v/>
          </cell>
          <cell r="HC40">
            <v>0</v>
          </cell>
          <cell r="HD40" t="str">
            <v/>
          </cell>
          <cell r="HG40">
            <v>0</v>
          </cell>
          <cell r="HH40" t="str">
            <v/>
          </cell>
          <cell r="HK40">
            <v>0</v>
          </cell>
          <cell r="HL40" t="str">
            <v/>
          </cell>
          <cell r="HO40">
            <v>0</v>
          </cell>
          <cell r="HP40" t="str">
            <v/>
          </cell>
          <cell r="HS40">
            <v>0</v>
          </cell>
          <cell r="HT40" t="str">
            <v/>
          </cell>
          <cell r="HW40">
            <v>0</v>
          </cell>
          <cell r="HX40" t="str">
            <v/>
          </cell>
          <cell r="IA40">
            <v>0</v>
          </cell>
          <cell r="IB40" t="str">
            <v/>
          </cell>
          <cell r="IE40">
            <v>0</v>
          </cell>
          <cell r="IF40" t="str">
            <v/>
          </cell>
          <cell r="II40">
            <v>0</v>
          </cell>
          <cell r="IJ40" t="str">
            <v/>
          </cell>
          <cell r="IM40">
            <v>0</v>
          </cell>
          <cell r="IN40" t="str">
            <v/>
          </cell>
          <cell r="IQ40">
            <v>0</v>
          </cell>
          <cell r="IR40" t="str">
            <v/>
          </cell>
          <cell r="IU40">
            <v>0</v>
          </cell>
          <cell r="IV40" t="str">
            <v/>
          </cell>
          <cell r="IY40">
            <v>0</v>
          </cell>
          <cell r="IZ40" t="str">
            <v/>
          </cell>
          <cell r="JC40">
            <v>0</v>
          </cell>
          <cell r="JD40" t="str">
            <v/>
          </cell>
          <cell r="JG40">
            <v>0</v>
          </cell>
          <cell r="JH40" t="str">
            <v/>
          </cell>
          <cell r="JK40">
            <v>0</v>
          </cell>
          <cell r="JL40" t="str">
            <v/>
          </cell>
          <cell r="JO40" t="e">
            <v>#N/A</v>
          </cell>
          <cell r="JP40" t="e">
            <v>#N/A</v>
          </cell>
          <cell r="JS40" t="e">
            <v>#N/A</v>
          </cell>
          <cell r="JT40" t="e">
            <v>#N/A</v>
          </cell>
          <cell r="JW40">
            <v>0</v>
          </cell>
          <cell r="JX40" t="str">
            <v/>
          </cell>
          <cell r="KA40" t="e">
            <v>#N/A</v>
          </cell>
          <cell r="KB40" t="e">
            <v>#N/A</v>
          </cell>
          <cell r="KE40" t="e">
            <v>#N/A</v>
          </cell>
          <cell r="KF40" t="e">
            <v>#N/A</v>
          </cell>
          <cell r="KI40">
            <v>0</v>
          </cell>
          <cell r="KJ40" t="str">
            <v/>
          </cell>
          <cell r="KM40">
            <v>0</v>
          </cell>
          <cell r="KN40" t="str">
            <v/>
          </cell>
          <cell r="KQ40">
            <v>0</v>
          </cell>
          <cell r="KR40" t="str">
            <v/>
          </cell>
          <cell r="KU40" t="e">
            <v>#N/A</v>
          </cell>
          <cell r="KV40" t="e">
            <v>#N/A</v>
          </cell>
          <cell r="KY40" t="e">
            <v>#N/A</v>
          </cell>
          <cell r="KZ40" t="e">
            <v>#N/A</v>
          </cell>
          <cell r="LC40" t="e">
            <v>#N/A</v>
          </cell>
          <cell r="LD40" t="e">
            <v>#N/A</v>
          </cell>
          <cell r="LG40">
            <v>37</v>
          </cell>
          <cell r="LH40">
            <v>2091</v>
          </cell>
          <cell r="LK40">
            <v>13</v>
          </cell>
          <cell r="LL40" t="str">
            <v/>
          </cell>
          <cell r="LO40">
            <v>25</v>
          </cell>
          <cell r="LP40" t="str">
            <v/>
          </cell>
          <cell r="LS40">
            <v>4</v>
          </cell>
          <cell r="LT40" t="str">
            <v/>
          </cell>
          <cell r="LW40">
            <v>22</v>
          </cell>
          <cell r="LX40" t="str">
            <v/>
          </cell>
          <cell r="MA40">
            <v>3</v>
          </cell>
          <cell r="MB40" t="str">
            <v/>
          </cell>
          <cell r="ME40">
            <v>35</v>
          </cell>
          <cell r="MF40" t="str">
            <v/>
          </cell>
          <cell r="MI40">
            <v>37</v>
          </cell>
          <cell r="MJ40">
            <v>3857116</v>
          </cell>
          <cell r="MM40">
            <v>37</v>
          </cell>
          <cell r="MN40">
            <v>694281</v>
          </cell>
          <cell r="MQ40">
            <v>37</v>
          </cell>
          <cell r="MR40">
            <v>4551397</v>
          </cell>
          <cell r="MU40">
            <v>36</v>
          </cell>
          <cell r="MV40" t="str">
            <v/>
          </cell>
          <cell r="MY40">
            <v>37</v>
          </cell>
          <cell r="MZ40">
            <v>3857.116</v>
          </cell>
          <cell r="NC40">
            <v>37</v>
          </cell>
          <cell r="ND40">
            <v>102406.4298</v>
          </cell>
          <cell r="NG40">
            <v>37</v>
          </cell>
          <cell r="NH40">
            <v>1735.7021999999999</v>
          </cell>
          <cell r="NK40">
            <v>37</v>
          </cell>
          <cell r="NL40">
            <v>100670.7276</v>
          </cell>
          <cell r="NO40">
            <v>36</v>
          </cell>
          <cell r="NP40" t="str">
            <v/>
          </cell>
          <cell r="NS40">
            <v>2</v>
          </cell>
          <cell r="NT40" t="str">
            <v/>
          </cell>
          <cell r="NW40">
            <v>5</v>
          </cell>
          <cell r="NX40" t="str">
            <v/>
          </cell>
          <cell r="OA40">
            <v>37</v>
          </cell>
          <cell r="OB40">
            <v>4537897</v>
          </cell>
          <cell r="OE40">
            <v>37</v>
          </cell>
          <cell r="OF40">
            <v>964279</v>
          </cell>
          <cell r="OI40">
            <v>37</v>
          </cell>
          <cell r="OJ40">
            <v>964279</v>
          </cell>
          <cell r="OM40">
            <v>6</v>
          </cell>
          <cell r="ON40" t="str">
            <v/>
          </cell>
          <cell r="OQ40">
            <v>37</v>
          </cell>
          <cell r="OR40">
            <v>3573618</v>
          </cell>
          <cell r="OU40" t="e">
            <v>#N/A</v>
          </cell>
          <cell r="OV40" t="e">
            <v>#N/A</v>
          </cell>
          <cell r="OY40" t="e">
            <v>#N/A</v>
          </cell>
          <cell r="OZ40" t="e">
            <v>#N/A</v>
          </cell>
          <cell r="PC40">
            <v>37</v>
          </cell>
          <cell r="PD40">
            <v>136541.90640000001</v>
          </cell>
          <cell r="PG40" t="e">
            <v>#N/A</v>
          </cell>
          <cell r="PH40" t="e">
            <v>#N/A</v>
          </cell>
          <cell r="PK40" t="e">
            <v>#N/A</v>
          </cell>
          <cell r="PL40" t="e">
            <v>#N/A</v>
          </cell>
          <cell r="PO40">
            <v>37</v>
          </cell>
          <cell r="PP40">
            <v>4537897.9057083894</v>
          </cell>
          <cell r="PS40">
            <v>11</v>
          </cell>
          <cell r="PT40" t="str">
            <v/>
          </cell>
          <cell r="PW40">
            <v>1</v>
          </cell>
          <cell r="PX40" t="str">
            <v/>
          </cell>
          <cell r="QA40" t="e">
            <v>#N/A</v>
          </cell>
          <cell r="QB40" t="e">
            <v>#N/A</v>
          </cell>
          <cell r="QE40" t="e">
            <v>#N/A</v>
          </cell>
          <cell r="QF40" t="e">
            <v>#N/A</v>
          </cell>
          <cell r="QI40" t="e">
            <v>#N/A</v>
          </cell>
          <cell r="QJ40" t="e">
            <v>#N/A</v>
          </cell>
          <cell r="QR40">
            <v>22</v>
          </cell>
          <cell r="QS40" t="str">
            <v/>
          </cell>
          <cell r="QV40">
            <v>25</v>
          </cell>
          <cell r="QW40" t="str">
            <v/>
          </cell>
          <cell r="QZ40">
            <v>35</v>
          </cell>
          <cell r="RA40" t="str">
            <v/>
          </cell>
          <cell r="RD40">
            <v>4</v>
          </cell>
          <cell r="RE40" t="str">
            <v/>
          </cell>
          <cell r="RH40">
            <v>3</v>
          </cell>
          <cell r="RI40" t="str">
            <v/>
          </cell>
          <cell r="RL40">
            <v>37</v>
          </cell>
          <cell r="RM40">
            <v>2091</v>
          </cell>
          <cell r="RP40">
            <v>13</v>
          </cell>
          <cell r="RQ40" t="str">
            <v/>
          </cell>
          <cell r="RT40">
            <v>37</v>
          </cell>
          <cell r="RU40">
            <v>3857116</v>
          </cell>
          <cell r="RX40">
            <v>37</v>
          </cell>
          <cell r="RY40">
            <v>694281</v>
          </cell>
          <cell r="SB40">
            <v>37</v>
          </cell>
          <cell r="SC40">
            <v>4551397</v>
          </cell>
          <cell r="SF40">
            <v>36</v>
          </cell>
          <cell r="SG40" t="str">
            <v/>
          </cell>
          <cell r="SJ40">
            <v>37</v>
          </cell>
          <cell r="SK40">
            <v>3857.116</v>
          </cell>
          <cell r="SN40">
            <v>37</v>
          </cell>
          <cell r="SO40">
            <v>102406.4298</v>
          </cell>
          <cell r="SR40">
            <v>37</v>
          </cell>
          <cell r="SS40">
            <v>1735.7021999999999</v>
          </cell>
          <cell r="SV40">
            <v>37</v>
          </cell>
          <cell r="SW40">
            <v>100670.7276</v>
          </cell>
          <cell r="SZ40">
            <v>36</v>
          </cell>
          <cell r="TA40" t="str">
            <v/>
          </cell>
          <cell r="TD40">
            <v>2</v>
          </cell>
          <cell r="TE40" t="str">
            <v/>
          </cell>
          <cell r="TH40">
            <v>5</v>
          </cell>
          <cell r="TI40" t="str">
            <v/>
          </cell>
          <cell r="TL40">
            <v>37</v>
          </cell>
          <cell r="TM40">
            <v>4537897</v>
          </cell>
          <cell r="TP40">
            <v>37</v>
          </cell>
          <cell r="TQ40">
            <v>964279</v>
          </cell>
          <cell r="TT40">
            <v>37</v>
          </cell>
          <cell r="TU40">
            <v>964279</v>
          </cell>
          <cell r="TX40">
            <v>6</v>
          </cell>
          <cell r="TY40" t="str">
            <v/>
          </cell>
          <cell r="UB40">
            <v>37</v>
          </cell>
          <cell r="UC40">
            <v>3573618</v>
          </cell>
          <cell r="UF40" t="e">
            <v>#N/A</v>
          </cell>
          <cell r="UG40" t="e">
            <v>#N/A</v>
          </cell>
          <cell r="UJ40" t="e">
            <v>#N/A</v>
          </cell>
          <cell r="UK40" t="e">
            <v>#N/A</v>
          </cell>
          <cell r="UN40">
            <v>37</v>
          </cell>
          <cell r="UO40">
            <v>136541.90640000001</v>
          </cell>
          <cell r="UR40" t="e">
            <v>#N/A</v>
          </cell>
          <cell r="US40" t="e">
            <v>#N/A</v>
          </cell>
          <cell r="UV40" t="e">
            <v>#N/A</v>
          </cell>
          <cell r="UW40" t="e">
            <v>#N/A</v>
          </cell>
          <cell r="UZ40">
            <v>37</v>
          </cell>
          <cell r="VA40">
            <v>4537897.9057083894</v>
          </cell>
          <cell r="VD40">
            <v>11</v>
          </cell>
          <cell r="VE40" t="str">
            <v/>
          </cell>
          <cell r="VH40" t="e">
            <v>#N/A</v>
          </cell>
          <cell r="VI40" t="e">
            <v>#N/A</v>
          </cell>
          <cell r="VL40" t="e">
            <v>#N/A</v>
          </cell>
          <cell r="VM40" t="e">
            <v>#N/A</v>
          </cell>
          <cell r="VP40" t="e">
            <v>#N/A</v>
          </cell>
          <cell r="VQ40" t="e">
            <v>#N/A</v>
          </cell>
          <cell r="VT40" t="e">
            <v>#N/A</v>
          </cell>
          <cell r="VU40" t="e">
            <v>#N/A</v>
          </cell>
        </row>
        <row r="41">
          <cell r="A41" t="str">
            <v>+ AL HAMD TRADE CORPORATION</v>
          </cell>
          <cell r="GB41" t="str">
            <v/>
          </cell>
          <cell r="GF41" t="str">
            <v/>
          </cell>
          <cell r="GJ41" t="str">
            <v/>
          </cell>
          <cell r="GN41" t="str">
            <v/>
          </cell>
          <cell r="GR41" t="str">
            <v/>
          </cell>
          <cell r="GV41" t="str">
            <v/>
          </cell>
          <cell r="GZ41" t="str">
            <v/>
          </cell>
          <cell r="HD41" t="str">
            <v/>
          </cell>
          <cell r="HH41" t="str">
            <v/>
          </cell>
          <cell r="HL41" t="str">
            <v/>
          </cell>
          <cell r="HP41" t="str">
            <v/>
          </cell>
          <cell r="HT41" t="str">
            <v/>
          </cell>
          <cell r="HX41" t="str">
            <v/>
          </cell>
          <cell r="IB41" t="str">
            <v/>
          </cell>
          <cell r="IF41" t="str">
            <v/>
          </cell>
          <cell r="IJ41" t="str">
            <v/>
          </cell>
          <cell r="IN41" t="str">
            <v/>
          </cell>
          <cell r="IR41" t="str">
            <v/>
          </cell>
          <cell r="IV41" t="str">
            <v/>
          </cell>
          <cell r="IZ41" t="str">
            <v/>
          </cell>
          <cell r="JD41" t="str">
            <v/>
          </cell>
          <cell r="JH41" t="str">
            <v/>
          </cell>
          <cell r="JL41" t="str">
            <v/>
          </cell>
          <cell r="JP41" t="e">
            <v>#N/A</v>
          </cell>
          <cell r="JT41" t="e">
            <v>#N/A</v>
          </cell>
          <cell r="JX41" t="str">
            <v/>
          </cell>
          <cell r="KB41" t="e">
            <v>#N/A</v>
          </cell>
          <cell r="KF41" t="e">
            <v>#N/A</v>
          </cell>
          <cell r="KJ41" t="str">
            <v/>
          </cell>
          <cell r="KN41" t="str">
            <v/>
          </cell>
          <cell r="KR41" t="str">
            <v/>
          </cell>
          <cell r="KV41" t="e">
            <v>#N/A</v>
          </cell>
          <cell r="KZ41" t="e">
            <v>#N/A</v>
          </cell>
          <cell r="LD41" t="e">
            <v>#N/A</v>
          </cell>
          <cell r="LH41" t="str">
            <v/>
          </cell>
          <cell r="LL41" t="str">
            <v/>
          </cell>
          <cell r="LP41" t="str">
            <v/>
          </cell>
          <cell r="LT41" t="str">
            <v/>
          </cell>
          <cell r="LX41" t="str">
            <v/>
          </cell>
          <cell r="MB41" t="str">
            <v/>
          </cell>
          <cell r="MF41" t="str">
            <v/>
          </cell>
          <cell r="MJ41" t="str">
            <v/>
          </cell>
          <cell r="MN41" t="str">
            <v/>
          </cell>
          <cell r="MR41" t="str">
            <v/>
          </cell>
          <cell r="MV41" t="str">
            <v/>
          </cell>
          <cell r="MZ41" t="str">
            <v/>
          </cell>
          <cell r="ND41" t="str">
            <v/>
          </cell>
          <cell r="NH41" t="str">
            <v/>
          </cell>
          <cell r="NL41" t="str">
            <v/>
          </cell>
          <cell r="NP41" t="str">
            <v/>
          </cell>
          <cell r="NT41" t="str">
            <v/>
          </cell>
          <cell r="NX41" t="str">
            <v/>
          </cell>
          <cell r="OB41" t="str">
            <v/>
          </cell>
          <cell r="OF41" t="str">
            <v/>
          </cell>
          <cell r="OJ41" t="str">
            <v/>
          </cell>
          <cell r="ON41" t="str">
            <v/>
          </cell>
          <cell r="OR41" t="str">
            <v/>
          </cell>
          <cell r="OV41" t="e">
            <v>#N/A</v>
          </cell>
          <cell r="OZ41" t="e">
            <v>#N/A</v>
          </cell>
          <cell r="PD41" t="str">
            <v/>
          </cell>
          <cell r="PH41" t="e">
            <v>#N/A</v>
          </cell>
          <cell r="PL41" t="e">
            <v>#N/A</v>
          </cell>
          <cell r="PP41" t="str">
            <v/>
          </cell>
          <cell r="PT41" t="str">
            <v/>
          </cell>
          <cell r="PX41" t="str">
            <v/>
          </cell>
          <cell r="QB41" t="e">
            <v>#N/A</v>
          </cell>
          <cell r="QF41" t="e">
            <v>#N/A</v>
          </cell>
          <cell r="QJ41" t="e">
            <v>#N/A</v>
          </cell>
        </row>
        <row r="42">
          <cell r="A42" t="str">
            <v>+ NATIONAL ENTERPRISES</v>
          </cell>
          <cell r="GB42" t="str">
            <v/>
          </cell>
          <cell r="GF42" t="str">
            <v/>
          </cell>
          <cell r="GJ42" t="str">
            <v/>
          </cell>
          <cell r="GN42" t="str">
            <v/>
          </cell>
          <cell r="GR42" t="str">
            <v/>
          </cell>
          <cell r="GV42" t="str">
            <v/>
          </cell>
          <cell r="GZ42" t="str">
            <v/>
          </cell>
          <cell r="HD42" t="str">
            <v/>
          </cell>
          <cell r="HH42" t="str">
            <v/>
          </cell>
          <cell r="HL42" t="str">
            <v/>
          </cell>
          <cell r="HP42" t="str">
            <v/>
          </cell>
          <cell r="HT42" t="str">
            <v/>
          </cell>
          <cell r="HX42" t="str">
            <v/>
          </cell>
          <cell r="IB42" t="str">
            <v/>
          </cell>
          <cell r="IF42" t="str">
            <v/>
          </cell>
          <cell r="IJ42" t="str">
            <v/>
          </cell>
          <cell r="IN42" t="str">
            <v/>
          </cell>
          <cell r="IR42" t="str">
            <v/>
          </cell>
          <cell r="IV42" t="str">
            <v/>
          </cell>
          <cell r="IZ42" t="str">
            <v/>
          </cell>
          <cell r="JD42" t="str">
            <v/>
          </cell>
          <cell r="JH42" t="str">
            <v/>
          </cell>
          <cell r="JL42" t="str">
            <v/>
          </cell>
          <cell r="JP42" t="e">
            <v>#N/A</v>
          </cell>
          <cell r="JT42" t="e">
            <v>#N/A</v>
          </cell>
          <cell r="JX42" t="str">
            <v/>
          </cell>
          <cell r="KB42" t="e">
            <v>#N/A</v>
          </cell>
          <cell r="KF42" t="e">
            <v>#N/A</v>
          </cell>
          <cell r="KJ42" t="str">
            <v/>
          </cell>
          <cell r="KN42" t="str">
            <v/>
          </cell>
          <cell r="KR42" t="str">
            <v/>
          </cell>
          <cell r="KV42" t="e">
            <v>#N/A</v>
          </cell>
          <cell r="KZ42" t="e">
            <v>#N/A</v>
          </cell>
          <cell r="LD42" t="e">
            <v>#N/A</v>
          </cell>
          <cell r="LH42" t="str">
            <v/>
          </cell>
          <cell r="LL42" t="str">
            <v/>
          </cell>
          <cell r="LP42" t="str">
            <v/>
          </cell>
          <cell r="LT42" t="str">
            <v/>
          </cell>
          <cell r="LX42" t="str">
            <v/>
          </cell>
          <cell r="MB42" t="str">
            <v/>
          </cell>
          <cell r="MF42" t="str">
            <v/>
          </cell>
          <cell r="MJ42" t="str">
            <v/>
          </cell>
          <cell r="MN42" t="str">
            <v/>
          </cell>
          <cell r="MR42" t="str">
            <v/>
          </cell>
          <cell r="MV42" t="str">
            <v/>
          </cell>
          <cell r="MZ42" t="str">
            <v/>
          </cell>
          <cell r="ND42" t="str">
            <v/>
          </cell>
          <cell r="NH42" t="str">
            <v/>
          </cell>
          <cell r="NL42" t="str">
            <v/>
          </cell>
          <cell r="NP42" t="str">
            <v/>
          </cell>
          <cell r="NT42" t="str">
            <v/>
          </cell>
          <cell r="NX42" t="str">
            <v/>
          </cell>
          <cell r="OB42" t="str">
            <v/>
          </cell>
          <cell r="OF42" t="str">
            <v/>
          </cell>
          <cell r="OJ42" t="str">
            <v/>
          </cell>
          <cell r="ON42" t="str">
            <v/>
          </cell>
          <cell r="OR42" t="str">
            <v/>
          </cell>
          <cell r="OV42" t="e">
            <v>#N/A</v>
          </cell>
          <cell r="OZ42" t="e">
            <v>#N/A</v>
          </cell>
          <cell r="PD42" t="str">
            <v/>
          </cell>
          <cell r="PH42" t="e">
            <v>#N/A</v>
          </cell>
          <cell r="PL42" t="e">
            <v>#N/A</v>
          </cell>
          <cell r="PP42" t="str">
            <v/>
          </cell>
          <cell r="PT42" t="str">
            <v/>
          </cell>
          <cell r="PX42" t="str">
            <v/>
          </cell>
          <cell r="QB42" t="e">
            <v>#N/A</v>
          </cell>
          <cell r="QF42" t="e">
            <v>#N/A</v>
          </cell>
          <cell r="QJ42" t="e">
            <v>#N/A</v>
          </cell>
        </row>
        <row r="43">
          <cell r="A43" t="str">
            <v>+ F R KHANS ENTERPRISES</v>
          </cell>
        </row>
        <row r="44">
          <cell r="A44" t="str">
            <v>+ F R KHANS ENTERPRISES</v>
          </cell>
        </row>
        <row r="45">
          <cell r="A45" t="str">
            <v>+ OMKAR STEELS</v>
          </cell>
        </row>
        <row r="46">
          <cell r="A46" t="str">
            <v>+ SHAR JAHAN TRADERS</v>
          </cell>
        </row>
        <row r="47">
          <cell r="A47" t="str">
            <v>+ NATIONAL ENTERPRISES</v>
          </cell>
        </row>
        <row r="48">
          <cell r="A48" t="str">
            <v>+ NATIONAL ENTERPRISES</v>
          </cell>
        </row>
        <row r="49">
          <cell r="A49" t="str">
            <v>+ NATIONAL ENTERPRISES</v>
          </cell>
        </row>
        <row r="50">
          <cell r="A50" t="str">
            <v>+ STERLING ENTERPRISES</v>
          </cell>
        </row>
        <row r="51">
          <cell r="A51" t="str">
            <v>+ SHAR JAHAN TRADERS</v>
          </cell>
        </row>
        <row r="52">
          <cell r="A52" t="str">
            <v>+ HIND TRADERS</v>
          </cell>
        </row>
        <row r="53">
          <cell r="A53" t="str">
            <v>+ STERLING ENTERPRISES</v>
          </cell>
        </row>
        <row r="54">
          <cell r="A54" t="str">
            <v>+ STERLING ENTERPRISES</v>
          </cell>
        </row>
        <row r="55">
          <cell r="A55" t="str">
            <v>+ NATIONAL ENTERPRISES</v>
          </cell>
        </row>
        <row r="56">
          <cell r="A56" t="str">
            <v>+ NATIONAL ENTERPRISES</v>
          </cell>
        </row>
        <row r="57">
          <cell r="A57" t="str">
            <v>+ OMKAR STEELS</v>
          </cell>
        </row>
        <row r="58">
          <cell r="A58" t="str">
            <v>+ NATIONAL SCRAP AND BUILDING MATERIAL SUPPLIER</v>
          </cell>
        </row>
        <row r="59">
          <cell r="A59" t="str">
            <v>+ NATIONAL ENTERPRISES</v>
          </cell>
        </row>
        <row r="60">
          <cell r="A60" t="str">
            <v>+ STERLING ENTERPRISES</v>
          </cell>
        </row>
        <row r="61">
          <cell r="A61" t="str">
            <v>+ NATIONAL ENTERPRISES</v>
          </cell>
        </row>
        <row r="62">
          <cell r="A62" t="str">
            <v>+ WATAN SCRAP TRADERS</v>
          </cell>
        </row>
        <row r="63">
          <cell r="A63" t="str">
            <v>+ NATIONAL ENTERPRISES</v>
          </cell>
        </row>
        <row r="64">
          <cell r="A64" t="str">
            <v>+ M I SCRAP TRADERS</v>
          </cell>
        </row>
        <row r="65">
          <cell r="A65" t="str">
            <v>+ WATAN SCRAP TRADERS</v>
          </cell>
        </row>
        <row r="66">
          <cell r="A66" t="str">
            <v>+ STERLING ENTERPRISES</v>
          </cell>
        </row>
        <row r="67">
          <cell r="A67" t="str">
            <v>+ NATIONAL ENTERPRISES</v>
          </cell>
        </row>
        <row r="68">
          <cell r="A68" t="str">
            <v>+ SAHARA ENTERPRISES</v>
          </cell>
        </row>
        <row r="69">
          <cell r="A69" t="str">
            <v>+ NATIONAL ENTERPRISES</v>
          </cell>
        </row>
        <row r="70">
          <cell r="A70" t="str">
            <v>+ NATIONAL ENTERPRISES</v>
          </cell>
        </row>
        <row r="71">
          <cell r="A71" t="str">
            <v>+ STERLING ENTERPRISES</v>
          </cell>
        </row>
        <row r="72">
          <cell r="A72" t="str">
            <v>+ WATAN SCRAP TRADERS</v>
          </cell>
        </row>
        <row r="73">
          <cell r="A73" t="str">
            <v>+ STERLING ENTERPRISES</v>
          </cell>
        </row>
        <row r="74">
          <cell r="A74" t="str">
            <v>+ NATIONAL ENTERPRISES</v>
          </cell>
        </row>
        <row r="75">
          <cell r="A75" t="str">
            <v>+ KASHYAP TRADING CO</v>
          </cell>
        </row>
        <row r="76">
          <cell r="A76" t="str">
            <v>+ S M ENTERPRISES</v>
          </cell>
        </row>
        <row r="77">
          <cell r="A77" t="str">
            <v>+ S M ENTERPRISES</v>
          </cell>
        </row>
        <row r="78">
          <cell r="A78" t="str">
            <v>+ SCRAP COPPER OF T/F WINDING (Oil impregnated paper insulated T/F winding)</v>
          </cell>
        </row>
        <row r="79">
          <cell r="A79" t="str">
            <v>+ Scrap of Empty oil drum</v>
          </cell>
        </row>
        <row r="80">
          <cell r="A80" t="str">
            <v>+ Scrap of Copper of faulty AC compressor</v>
          </cell>
        </row>
        <row r="81">
          <cell r="A81" t="str">
            <v>+ Scrap of MS (extracted from equip cage and empty Sf6 gas cylinder)</v>
          </cell>
        </row>
        <row r="82">
          <cell r="A82" t="str">
            <v>+ SCRAP ACSR CONDUCTORS (Conductor Pieces)</v>
          </cell>
        </row>
        <row r="83">
          <cell r="A83" t="str">
            <v>+ Scrap Power Transformer</v>
          </cell>
        </row>
        <row r="84">
          <cell r="A84" t="str">
            <v>+ Scrap of 132 KV CT</v>
          </cell>
        </row>
        <row r="85">
          <cell r="A85" t="str">
            <v>+ Scrap of 145 KV CB</v>
          </cell>
        </row>
        <row r="86">
          <cell r="A86" t="str">
            <v>+ Scrap of 220KV CT</v>
          </cell>
        </row>
        <row r="87">
          <cell r="A87" t="str">
            <v>+ Scrap of empty oil drums</v>
          </cell>
        </row>
        <row r="88">
          <cell r="A88" t="str">
            <v>+ SCRAP POWER TRANSFORMER</v>
          </cell>
        </row>
        <row r="89">
          <cell r="A89" t="str">
            <v>+ Scrap of empty oil Druam</v>
          </cell>
        </row>
        <row r="90">
          <cell r="A90" t="str">
            <v>+ Scrap of empty oil Barrel</v>
          </cell>
        </row>
        <row r="91">
          <cell r="A91" t="str">
            <v>+ Scrap of empty oil Barrels</v>
          </cell>
        </row>
        <row r="92">
          <cell r="A92" t="str">
            <v>+ Scrap of 220 KV Circuit Breaker</v>
          </cell>
        </row>
        <row r="93">
          <cell r="A93" t="str">
            <v>+ Scrap of 220 KV Circuit Breaker</v>
          </cell>
        </row>
        <row r="94">
          <cell r="A94" t="str">
            <v>+ SCRAP 80MM² AAAC EARTHWIRE</v>
          </cell>
        </row>
        <row r="95">
          <cell r="A95" t="str">
            <v>+ Scrap of 132 KV CT</v>
          </cell>
        </row>
        <row r="96">
          <cell r="A96" t="str">
            <v>+ Scrap of 132 KV CT</v>
          </cell>
        </row>
        <row r="97">
          <cell r="A97" t="str">
            <v>+ Scrap of empty oil Barrels</v>
          </cell>
        </row>
        <row r="98">
          <cell r="A98" t="str">
            <v>+ Scrap of 132 KV CT</v>
          </cell>
        </row>
        <row r="99">
          <cell r="A99" t="str">
            <v>+ Scrap Empty Oil Drum/ Barrel</v>
          </cell>
        </row>
        <row r="100">
          <cell r="A100" t="str">
            <v>+ Scrap of 132 KV Wave Trap</v>
          </cell>
        </row>
        <row r="101">
          <cell r="A101" t="str">
            <v>+ Mix Scrap (Tower angles &amp; 0.2 ACSR Condutor pieces)</v>
          </cell>
        </row>
        <row r="102">
          <cell r="A102" t="str">
            <v>+ Scrap of empty oil Barrels</v>
          </cell>
        </row>
        <row r="103">
          <cell r="A103" t="str">
            <v>+ Scrap of 33 KV CT</v>
          </cell>
        </row>
        <row r="104">
          <cell r="A104" t="str">
            <v>+ Scrap of 132 KV CT</v>
          </cell>
        </row>
        <row r="105">
          <cell r="A105" t="str">
            <v>+ Scrap of AAAC Earth wire</v>
          </cell>
        </row>
        <row r="106">
          <cell r="A106" t="str">
            <v>+ Scrap of 220 KV CT</v>
          </cell>
        </row>
        <row r="107">
          <cell r="A107" t="str">
            <v>+ Scrap of 33 KV GCB</v>
          </cell>
        </row>
        <row r="108">
          <cell r="A108" t="str">
            <v>+ Scrap of Empty oil Barrels</v>
          </cell>
        </row>
        <row r="109">
          <cell r="A109" t="str">
            <v>+ Scrap of empty oil drums</v>
          </cell>
        </row>
        <row r="110">
          <cell r="A110" t="str">
            <v>+ Scrap of 33 KV CB</v>
          </cell>
        </row>
        <row r="111">
          <cell r="A111" t="str">
            <v>+ Scrap of 66 KV Isolater</v>
          </cell>
        </row>
        <row r="112">
          <cell r="A112" t="str">
            <v>+ Scrap of 132 KV CT</v>
          </cell>
        </row>
        <row r="113">
          <cell r="A113" t="str">
            <v>+ Scrap of 66 kv TBC C &amp; R Panel</v>
          </cell>
        </row>
        <row r="114">
          <cell r="A114" t="str">
            <v>+ Scrap of 132 KV CT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53EA7-19F7-4EE9-991E-2F926097416A}">
  <sheetPr codeName="Sheet1"/>
  <dimension ref="A1:BT46"/>
  <sheetViews>
    <sheetView showGridLines="0" tabSelected="1" zoomScale="85" zoomScaleNormal="85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D10" sqref="D10"/>
    </sheetView>
  </sheetViews>
  <sheetFormatPr defaultColWidth="8.6640625" defaultRowHeight="14.4" outlineLevelCol="1" x14ac:dyDescent="0.3"/>
  <cols>
    <col min="1" max="1" width="13.6640625" customWidth="1" outlineLevel="1"/>
    <col min="2" max="2" width="29.44140625" customWidth="1" outlineLevel="1"/>
    <col min="3" max="3" width="9.109375" customWidth="1" outlineLevel="1"/>
    <col min="4" max="4" width="9.44140625" customWidth="1" outlineLevel="1"/>
    <col min="5" max="5" width="10" customWidth="1" outlineLevel="1"/>
    <col min="6" max="6" width="12.44140625" customWidth="1"/>
    <col min="7" max="7" width="25" customWidth="1"/>
    <col min="8" max="8" width="15.5546875" customWidth="1"/>
    <col min="9" max="9" width="9.88671875" customWidth="1" outlineLevel="1"/>
    <col min="10" max="10" width="17.109375" customWidth="1" outlineLevel="1"/>
    <col min="11" max="11" width="9.5546875" customWidth="1" outlineLevel="1"/>
    <col min="12" max="12" width="6.88671875" customWidth="1" outlineLevel="1"/>
    <col min="13" max="13" width="8.33203125" customWidth="1" outlineLevel="1"/>
    <col min="14" max="14" width="6.6640625" customWidth="1" outlineLevel="1"/>
    <col min="15" max="15" width="9.109375" customWidth="1" outlineLevel="1"/>
    <col min="16" max="16" width="8.33203125" style="68" customWidth="1"/>
    <col min="17" max="17" width="8.109375" style="68" customWidth="1" outlineLevel="1"/>
    <col min="18" max="18" width="8.109375" customWidth="1"/>
    <col min="19" max="19" width="11.5546875" customWidth="1"/>
    <col min="20" max="20" width="9.88671875" customWidth="1" outlineLevel="1"/>
    <col min="21" max="21" width="10" style="70" customWidth="1"/>
    <col min="22" max="22" width="10.109375" style="70" customWidth="1"/>
    <col min="23" max="23" width="10.6640625" customWidth="1" outlineLevel="1"/>
    <col min="24" max="24" width="10.5546875" customWidth="1"/>
    <col min="25" max="28" width="10.109375" customWidth="1"/>
    <col min="29" max="29" width="14.109375" customWidth="1"/>
    <col min="30" max="30" width="11.5546875" customWidth="1"/>
    <col min="31" max="31" width="13" customWidth="1"/>
    <col min="32" max="32" width="13.6640625" customWidth="1"/>
    <col min="33" max="33" width="14.109375" customWidth="1"/>
    <col min="34" max="34" width="10.109375" customWidth="1"/>
    <col min="38" max="72" width="11" hidden="1" customWidth="1" outlineLevel="1"/>
  </cols>
  <sheetData>
    <row r="1" spans="1:72" ht="15.75" customHeight="1" x14ac:dyDescent="0.3">
      <c r="A1" s="1"/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72" ht="30" customHeight="1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3" t="str">
        <f>IF(COUNTIF($A$2:$AH$2,"&lt;&gt;")=0,"🔍 SEARCH - nothing typed yet, all 37 rows are shown.   ·   type in any yellow box above a column, or pick from its dropdown: every column is searched, the boxes are ANDed together, (blank)/(nonblank) and * / ? work as usual","🔍 MATCHED "&amp;SUM($BT$4:$BT$40)&amp;" of 37 row(s)   ·   the rows that miss are greyed out, nothing is hidden and the totals still cover all 37   ·   clear a box to widen the dropdowns again")</f>
        <v>🔍 SEARCH - nothing typed yet, all 37 rows are shown.   ·   type in any yellow box above a column, or pick from its dropdown: every column is searched, the boxes are ANDed together, (blank)/(nonblank) and * / ? work as usual</v>
      </c>
    </row>
    <row r="3" spans="1:72" ht="57.75" customHeight="1" thickBot="1" x14ac:dyDescent="0.35">
      <c r="A3" s="4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2</v>
      </c>
      <c r="G3" s="5" t="s">
        <v>6</v>
      </c>
      <c r="H3" s="5" t="s">
        <v>7</v>
      </c>
      <c r="I3" s="5" t="s">
        <v>8</v>
      </c>
      <c r="J3" s="6" t="s">
        <v>9</v>
      </c>
      <c r="K3" s="5" t="s">
        <v>10</v>
      </c>
      <c r="L3" s="6" t="s">
        <v>11</v>
      </c>
      <c r="M3" s="6" t="s">
        <v>12</v>
      </c>
      <c r="N3" s="6" t="s">
        <v>13</v>
      </c>
      <c r="O3" s="7" t="s">
        <v>14</v>
      </c>
      <c r="P3" s="6" t="s">
        <v>15</v>
      </c>
      <c r="Q3" s="6" t="s">
        <v>16</v>
      </c>
      <c r="R3" s="6" t="s">
        <v>17</v>
      </c>
      <c r="S3" s="6" t="s">
        <v>18</v>
      </c>
      <c r="T3" s="6" t="s">
        <v>19</v>
      </c>
      <c r="U3" s="6" t="s">
        <v>20</v>
      </c>
      <c r="V3" s="6" t="s">
        <v>21</v>
      </c>
      <c r="W3" s="8" t="s">
        <v>22</v>
      </c>
      <c r="X3" s="6" t="s">
        <v>23</v>
      </c>
      <c r="Y3" s="6" t="s">
        <v>21</v>
      </c>
      <c r="Z3" s="6" t="s">
        <v>24</v>
      </c>
      <c r="AA3" s="6" t="s">
        <v>25</v>
      </c>
      <c r="AB3" s="6" t="s">
        <v>26</v>
      </c>
      <c r="AC3" s="6" t="s">
        <v>27</v>
      </c>
      <c r="AD3" s="6" t="s">
        <v>28</v>
      </c>
      <c r="AE3" s="6" t="s">
        <v>29</v>
      </c>
      <c r="AF3" s="6" t="s">
        <v>30</v>
      </c>
      <c r="AG3" s="6" t="s">
        <v>31</v>
      </c>
      <c r="AH3" s="9" t="s">
        <v>32</v>
      </c>
    </row>
    <row r="4" spans="1:72" ht="39" customHeight="1" x14ac:dyDescent="0.3">
      <c r="A4" s="10">
        <v>669</v>
      </c>
      <c r="B4" s="11" t="s">
        <v>33</v>
      </c>
      <c r="C4" s="12">
        <v>1181</v>
      </c>
      <c r="D4" s="13">
        <v>21980</v>
      </c>
      <c r="E4" s="13" t="s">
        <v>34</v>
      </c>
      <c r="F4" s="13">
        <v>1763</v>
      </c>
      <c r="G4" s="11" t="s">
        <v>35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36</v>
      </c>
      <c r="W4" s="15">
        <f t="shared" ref="W4:W40" si="11">ROUND(H4*92.65%-R4,0)</f>
        <v>716215</v>
      </c>
      <c r="X4" s="15">
        <v>716216</v>
      </c>
      <c r="Y4" s="15" t="s">
        <v>37</v>
      </c>
      <c r="Z4" s="15">
        <f t="shared" ref="Z4:Z40" ca="1" si="12">IF(IF(OR(AB4="",AB4=0),TODAY(),DATE(VALUE(RIGHT(AB4,4)),VALUE(MID(AB4,4,2)),VALUE(LEFT(AB4,2))))&lt;=DATE(2026,8,24),0,H4*0.0118*CEILING((IF(OR(AB4="",AB4=0),TODAY(),DATE(VALUE(RIGHT(AB4,4)),VALUE(MID(AB4,4,2)),VALUE(LEFT(AB4,2))))-DATE(2026,8,22))/7,1))</f>
        <v>27969.150600000001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tr">
        <f t="shared" ref="AE4:AE41" si="15">IF(AD4="","",IF(AD4&lt;=5,"SETTLED","OUTSTANDING"))</f>
        <v>SETTLED</v>
      </c>
      <c r="AF4" s="20" t="s">
        <v>38</v>
      </c>
      <c r="AG4" s="21">
        <v>1800003271</v>
      </c>
      <c r="AH4" s="22" t="s">
        <v>36</v>
      </c>
      <c r="AL4">
        <f t="shared" ref="AL4:AL40" si="16">IF($A$2="",1,IF($A$2="(blank)",--(A4=""),IF($A$2="(nonblank)",--(A4&lt;&gt;""),--ISNUMBER(SEARCH($A$2,A4)))))</f>
        <v>1</v>
      </c>
      <c r="AM4">
        <f t="shared" ref="AM4:AM40" si="17">IF($B$2="",1,IF($B$2="(blank)",--(B4=""),IF($B$2="(nonblank)",--(B4&lt;&gt;""),--ISNUMBER(SEARCH($B$2,B4)))))</f>
        <v>1</v>
      </c>
      <c r="AN4">
        <f t="shared" ref="AN4:AN40" si="18">IF($C$2="",1,IF($C$2="(blank)",--(C4=""),IF($C$2="(nonblank)",--(C4&lt;&gt;""),--ISNUMBER(SEARCH($C$2,C4)))))</f>
        <v>1</v>
      </c>
      <c r="AO4">
        <f t="shared" ref="AO4:AO40" si="19">IF($D$2="",1,IF($D$2="(blank)",--(D4=""),IF($D$2="(nonblank)",--(D4&lt;&gt;""),--ISNUMBER(SEARCH($D$2,D4)))))</f>
        <v>1</v>
      </c>
      <c r="AP4">
        <f t="shared" ref="AP4:AP40" si="20">IF($E$2="",1,IF($E$2="(blank)",--(E4=""),IF($E$2="(nonblank)",--(E4&lt;&gt;""),--ISNUMBER(SEARCH($E$2,E4)))))</f>
        <v>1</v>
      </c>
      <c r="AQ4">
        <f t="shared" ref="AQ4:AQ40" si="21">IF($F$2="",1,IF($F$2="(blank)",--(F4=""),IF($F$2="(nonblank)",--(F4&lt;&gt;""),--ISNUMBER(SEARCH($F$2,F4)))))</f>
        <v>1</v>
      </c>
      <c r="AR4">
        <f t="shared" ref="AR4:AR40" si="22">IF($G$2="",1,IF($G$2="(blank)",--(G4=""),IF($G$2="(nonblank)",--(G4&lt;&gt;""),--ISNUMBER(SEARCH($G$2,G4)))))</f>
        <v>1</v>
      </c>
      <c r="AS4">
        <f t="shared" ref="AS4:AS40" si="23">IF($H$2="",1,IF($H$2="(blank)",--(H4=""),IF($H$2="(nonblank)",--(H4&lt;&gt;""),--ISNUMBER(SEARCH($H$2,H4)))))</f>
        <v>1</v>
      </c>
      <c r="AT4">
        <f t="shared" ref="AT4:AT40" si="24">IF($I$2="",1,IF($I$2="(blank)",--(I4=""),IF($I$2="(nonblank)",--(I4&lt;&gt;""),--ISNUMBER(SEARCH($I$2,I4)))))</f>
        <v>1</v>
      </c>
      <c r="AU4">
        <f t="shared" ref="AU4:AU40" si="25">IF($J$2="",1,IF($J$2="(blank)",--(J4=""),IF($J$2="(nonblank)",--(J4&lt;&gt;""),--ISNUMBER(SEARCH($J$2,J4)))))</f>
        <v>1</v>
      </c>
      <c r="AV4">
        <f t="shared" ref="AV4:AV40" si="26">IF($K$2="",1,IF($K$2="(blank)",--(K4=""),IF($K$2="(nonblank)",--(K4&lt;&gt;""),--ISNUMBER(SEARCH($K$2,K4)))))</f>
        <v>1</v>
      </c>
      <c r="AW4">
        <f t="shared" ref="AW4:AW40" si="27">IF($L$2="",1,IF($L$2="(blank)",--(L4=""),IF($L$2="(nonblank)",--(L4&lt;&gt;""),--ISNUMBER(SEARCH($L$2,L4)))))</f>
        <v>1</v>
      </c>
      <c r="AX4">
        <f t="shared" ref="AX4:AX40" si="28">IF($M$2="",1,IF($M$2="(blank)",--(M4=""),IF($M$2="(nonblank)",--(M4&lt;&gt;""),--ISNUMBER(SEARCH($M$2,M4)))))</f>
        <v>1</v>
      </c>
      <c r="AY4">
        <f t="shared" ref="AY4:AY40" si="29">IF($N$2="",1,IF($N$2="(blank)",--(N4=""),IF($N$2="(nonblank)",--(N4&lt;&gt;""),--ISNUMBER(SEARCH($N$2,N4)))))</f>
        <v>1</v>
      </c>
      <c r="AZ4">
        <f t="shared" ref="AZ4:AZ40" si="30">IF($O$2="",1,IF($O$2="(blank)",--(O4=""),IF($O$2="(nonblank)",--(O4&lt;&gt;""),--ISNUMBER(SEARCH($O$2,O4)))))</f>
        <v>1</v>
      </c>
      <c r="BA4">
        <f t="shared" ref="BA4:BA40" si="31">IF($P$2="",1,IF($P$2="(blank)",--(P4=""),IF($P$2="(nonblank)",--(P4&lt;&gt;""),--ISNUMBER(SEARCH($P$2,P4)))))</f>
        <v>1</v>
      </c>
      <c r="BB4">
        <f t="shared" ref="BB4:BB40" si="32">IF($Q$2="",1,IF($Q$2="(blank)",--(Q4=""),IF($Q$2="(nonblank)",--(Q4&lt;&gt;""),--ISNUMBER(SEARCH($Q$2,Q4)))))</f>
        <v>1</v>
      </c>
      <c r="BC4">
        <f t="shared" ref="BC4:BC40" si="33">IF($R$2="",1,IF($R$2="(blank)",--(R4=""),IF($R$2="(nonblank)",--(R4&lt;&gt;""),--ISNUMBER(SEARCH($R$2,R4)))))</f>
        <v>1</v>
      </c>
      <c r="BD4">
        <f t="shared" ref="BD4:BD40" si="34">IF($S$2="",1,IF($S$2="(blank)",--(S4=""),IF($S$2="(nonblank)",--(S4&lt;&gt;""),--ISNUMBER(SEARCH($S$2,S4)))))</f>
        <v>1</v>
      </c>
      <c r="BE4">
        <f t="shared" ref="BE4:BE40" si="35">IF($T$2="",1,IF($T$2="(blank)",--(T4=""),IF($T$2="(nonblank)",--(T4&lt;&gt;""),--ISNUMBER(SEARCH($T$2,T4)))))</f>
        <v>1</v>
      </c>
      <c r="BF4">
        <f t="shared" ref="BF4:BF40" si="36">IF($U$2="",1,IF($U$2="(blank)",--(U4=""),IF($U$2="(nonblank)",--(U4&lt;&gt;""),--ISNUMBER(SEARCH($U$2,U4)))))</f>
        <v>1</v>
      </c>
      <c r="BG4">
        <f t="shared" ref="BG4:BG40" si="37">IF($V$2="",1,IF($V$2="(blank)",--(V4=""),IF($V$2="(nonblank)",--(V4&lt;&gt;""),--ISNUMBER(SEARCH($V$2,V4)))))</f>
        <v>1</v>
      </c>
      <c r="BH4">
        <f t="shared" ref="BH4:BH40" si="38">IF($W$2="",1,IF($W$2="(blank)",--(W4=""),IF($W$2="(nonblank)",--(W4&lt;&gt;""),--ISNUMBER(SEARCH($W$2,W4)))))</f>
        <v>1</v>
      </c>
      <c r="BI4">
        <f t="shared" ref="BI4:BI40" si="39">IF($X$2="",1,IF($X$2="(blank)",--(X4=""),IF($X$2="(nonblank)",--(X4&lt;&gt;""),--ISNUMBER(SEARCH($X$2,X4)))))</f>
        <v>1</v>
      </c>
      <c r="BJ4">
        <f t="shared" ref="BJ4:BJ40" si="40">IF($Y$2="",1,IF($Y$2="(blank)",--(Y4=""),IF($Y$2="(nonblank)",--(Y4&lt;&gt;""),--ISNUMBER(SEARCH($Y$2,Y4)))))</f>
        <v>1</v>
      </c>
      <c r="BK4">
        <f t="shared" ref="BK4:BK40" si="41">IF($Z$2="",1,IF($Z$2="(blank)",--(Z4=""),IF($Z$2="(nonblank)",--(Z4&lt;&gt;""),--ISNUMBER(SEARCH($Z$2,Z4)))))</f>
        <v>1</v>
      </c>
      <c r="BL4">
        <f t="shared" ref="BL4:BL40" si="42">IF($AA$2="",1,IF($AA$2="(blank)",--(AA4=""),IF($AA$2="(nonblank)",--(AA4&lt;&gt;""),--ISNUMBER(SEARCH($AA$2,AA4)))))</f>
        <v>1</v>
      </c>
      <c r="BM4">
        <f t="shared" ref="BM4:BM40" si="43">IF($AB$2="",1,IF($AB$2="(blank)",--(AB4=""),IF($AB$2="(nonblank)",--(AB4&lt;&gt;""),--ISNUMBER(SEARCH($AB$2,AB4)))))</f>
        <v>1</v>
      </c>
      <c r="BN4">
        <f t="shared" ref="BN4:BN40" si="44">IF($AC$2="",1,IF($AC$2="(blank)",--(AC4=""),IF($AC$2="(nonblank)",--(AC4&lt;&gt;""),--ISNUMBER(SEARCH($AC$2,AC4)))))</f>
        <v>1</v>
      </c>
      <c r="BO4">
        <f t="shared" ref="BO4:BO40" si="45">IF($AD$2="",1,IF($AD$2="(blank)",--(AD4=""),IF($AD$2="(nonblank)",--(AD4&lt;&gt;""),--ISNUMBER(SEARCH($AD$2,AD4)))))</f>
        <v>1</v>
      </c>
      <c r="BP4">
        <f t="shared" ref="BP4:BP40" si="46">IF($AE$2="",1,IF($AE$2="(blank)",--(AE4=""),IF($AE$2="(nonblank)",--(AE4&lt;&gt;""),--ISNUMBER(SEARCH($AE$2,AE4)))))</f>
        <v>1</v>
      </c>
      <c r="BQ4">
        <f t="shared" ref="BQ4:BQ40" si="47">IF($AF$2="",1,IF($AF$2="(blank)",--(AF4=""),IF($AF$2="(nonblank)",--(AF4&lt;&gt;""),--ISNUMBER(SEARCH($AF$2,AF4)))))</f>
        <v>1</v>
      </c>
      <c r="BR4">
        <f t="shared" ref="BR4:BR40" si="48">IF($AG$2="",1,IF($AG$2="(blank)",--(AG4=""),IF($AG$2="(nonblank)",--(AG4&lt;&gt;""),--ISNUMBER(SEARCH($AG$2,AG4)))))</f>
        <v>1</v>
      </c>
      <c r="BS4">
        <f t="shared" ref="BS4:BS40" si="49">IF($AH$2="",1,IF($AH$2="(blank)",--(AH4=""),IF($AH$2="(nonblank)",--(AH4&lt;&gt;""),--ISNUMBER(SEARCH($AH$2,AH4)))))</f>
        <v>1</v>
      </c>
      <c r="BT4">
        <f t="shared" ref="BT4:BT40" si="50">IF(COUNTIF($AL4:$BS4,0)&gt;0,0,1)</f>
        <v>1</v>
      </c>
    </row>
    <row r="5" spans="1:72" ht="14.25" customHeight="1" x14ac:dyDescent="0.3">
      <c r="A5" s="23">
        <v>270</v>
      </c>
      <c r="B5" s="24" t="s">
        <v>39</v>
      </c>
      <c r="C5" s="25">
        <v>580</v>
      </c>
      <c r="D5" s="26">
        <v>21977</v>
      </c>
      <c r="E5" s="26" t="s">
        <v>40</v>
      </c>
      <c r="F5" s="26">
        <v>1874</v>
      </c>
      <c r="G5" s="24" t="s">
        <v>41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42</v>
      </c>
      <c r="W5" s="28">
        <f t="shared" si="11"/>
        <v>145090</v>
      </c>
      <c r="X5" s="28">
        <v>145090</v>
      </c>
      <c r="Y5" s="28" t="s">
        <v>36</v>
      </c>
      <c r="Z5" s="28">
        <f t="shared" ca="1" si="12"/>
        <v>5543.6399999999994</v>
      </c>
      <c r="AA5" s="28"/>
      <c r="AB5" s="28"/>
      <c r="AC5" s="32">
        <f t="shared" si="13"/>
        <v>184240</v>
      </c>
      <c r="AD5" s="32">
        <f t="shared" si="14"/>
        <v>0</v>
      </c>
      <c r="AE5" s="28" t="str">
        <f t="shared" si="15"/>
        <v>SETTLED</v>
      </c>
      <c r="AF5" s="28" t="s">
        <v>43</v>
      </c>
      <c r="AG5" s="33">
        <v>1800003302</v>
      </c>
      <c r="AH5" s="34" t="s">
        <v>44</v>
      </c>
      <c r="AL5">
        <f t="shared" si="16"/>
        <v>1</v>
      </c>
      <c r="AM5">
        <f t="shared" si="17"/>
        <v>1</v>
      </c>
      <c r="AN5">
        <f t="shared" si="18"/>
        <v>1</v>
      </c>
      <c r="AO5">
        <f t="shared" si="19"/>
        <v>1</v>
      </c>
      <c r="AP5">
        <f t="shared" si="20"/>
        <v>1</v>
      </c>
      <c r="AQ5">
        <f t="shared" si="21"/>
        <v>1</v>
      </c>
      <c r="AR5">
        <f t="shared" si="22"/>
        <v>1</v>
      </c>
      <c r="AS5">
        <f t="shared" si="23"/>
        <v>1</v>
      </c>
      <c r="AT5">
        <f t="shared" si="24"/>
        <v>1</v>
      </c>
      <c r="AU5">
        <f t="shared" si="25"/>
        <v>1</v>
      </c>
      <c r="AV5">
        <f t="shared" si="26"/>
        <v>1</v>
      </c>
      <c r="AW5">
        <f t="shared" si="27"/>
        <v>1</v>
      </c>
      <c r="AX5">
        <f t="shared" si="28"/>
        <v>1</v>
      </c>
      <c r="AY5">
        <f t="shared" si="29"/>
        <v>1</v>
      </c>
      <c r="AZ5">
        <f t="shared" si="30"/>
        <v>1</v>
      </c>
      <c r="BA5">
        <f t="shared" si="31"/>
        <v>1</v>
      </c>
      <c r="BB5">
        <f t="shared" si="32"/>
        <v>1</v>
      </c>
      <c r="BC5">
        <f t="shared" si="33"/>
        <v>1</v>
      </c>
      <c r="BD5">
        <f t="shared" si="34"/>
        <v>1</v>
      </c>
      <c r="BE5">
        <f t="shared" si="35"/>
        <v>1</v>
      </c>
      <c r="BF5">
        <f t="shared" si="36"/>
        <v>1</v>
      </c>
      <c r="BG5">
        <f t="shared" si="37"/>
        <v>1</v>
      </c>
      <c r="BH5">
        <f t="shared" si="38"/>
        <v>1</v>
      </c>
      <c r="BI5">
        <f t="shared" si="39"/>
        <v>1</v>
      </c>
      <c r="BJ5">
        <f t="shared" si="40"/>
        <v>1</v>
      </c>
      <c r="BK5">
        <f t="shared" si="41"/>
        <v>1</v>
      </c>
      <c r="BL5">
        <f t="shared" si="42"/>
        <v>1</v>
      </c>
      <c r="BM5">
        <f t="shared" si="43"/>
        <v>1</v>
      </c>
      <c r="BN5">
        <f t="shared" si="44"/>
        <v>1</v>
      </c>
      <c r="BO5">
        <f t="shared" si="45"/>
        <v>1</v>
      </c>
      <c r="BP5">
        <f t="shared" si="46"/>
        <v>1</v>
      </c>
      <c r="BQ5">
        <f t="shared" si="47"/>
        <v>1</v>
      </c>
      <c r="BR5">
        <f t="shared" si="48"/>
        <v>1</v>
      </c>
      <c r="BS5">
        <f t="shared" si="49"/>
        <v>1</v>
      </c>
      <c r="BT5">
        <f t="shared" si="50"/>
        <v>1</v>
      </c>
    </row>
    <row r="6" spans="1:72" ht="26.25" customHeight="1" x14ac:dyDescent="0.3">
      <c r="A6" s="35">
        <v>28</v>
      </c>
      <c r="B6" s="36" t="s">
        <v>45</v>
      </c>
      <c r="C6" s="37">
        <v>1456</v>
      </c>
      <c r="D6" s="38">
        <v>21977</v>
      </c>
      <c r="E6" s="38" t="s">
        <v>34</v>
      </c>
      <c r="F6" s="38">
        <v>1875</v>
      </c>
      <c r="G6" s="36" t="s">
        <v>46</v>
      </c>
      <c r="H6" s="39">
        <v>40768</v>
      </c>
      <c r="I6" s="39">
        <f t="shared" si="0"/>
        <v>7338</v>
      </c>
      <c r="J6" s="39">
        <f t="shared" si="1"/>
        <v>48106</v>
      </c>
      <c r="K6" s="39">
        <f t="shared" si="2"/>
        <v>962</v>
      </c>
      <c r="L6" s="40">
        <f t="shared" si="3"/>
        <v>40.768000000000001</v>
      </c>
      <c r="M6" s="40">
        <f t="shared" si="4"/>
        <v>1082.3904</v>
      </c>
      <c r="N6" s="41">
        <f t="shared" si="5"/>
        <v>18.345600000000001</v>
      </c>
      <c r="O6" s="40">
        <f t="shared" si="6"/>
        <v>1064.0447999999999</v>
      </c>
      <c r="P6" s="40">
        <f t="shared" si="7"/>
        <v>1105</v>
      </c>
      <c r="Q6" s="42">
        <v>0</v>
      </c>
      <c r="R6" s="40">
        <f t="shared" si="8"/>
        <v>0</v>
      </c>
      <c r="S6" s="39">
        <f t="shared" si="9"/>
        <v>47964</v>
      </c>
      <c r="T6" s="40">
        <f t="shared" si="10"/>
        <v>10192</v>
      </c>
      <c r="U6" s="43">
        <v>10192</v>
      </c>
      <c r="V6" s="40" t="s">
        <v>47</v>
      </c>
      <c r="W6" s="40">
        <f t="shared" si="11"/>
        <v>37772</v>
      </c>
      <c r="X6" s="40">
        <f>+W6+R6</f>
        <v>37772</v>
      </c>
      <c r="Y6" s="40" t="s">
        <v>48</v>
      </c>
      <c r="Z6" s="40">
        <f t="shared" ca="1" si="12"/>
        <v>1443.1871999999998</v>
      </c>
      <c r="AA6" s="40"/>
      <c r="AB6" s="40"/>
      <c r="AC6" s="15">
        <f t="shared" si="13"/>
        <v>47964</v>
      </c>
      <c r="AD6" s="19">
        <f t="shared" si="14"/>
        <v>0</v>
      </c>
      <c r="AE6" s="20" t="str">
        <f t="shared" si="15"/>
        <v>SETTLED</v>
      </c>
      <c r="AF6" s="20" t="s">
        <v>49</v>
      </c>
      <c r="AG6" s="21">
        <v>1800003346</v>
      </c>
      <c r="AH6" s="22" t="s">
        <v>44</v>
      </c>
      <c r="AL6">
        <f t="shared" si="16"/>
        <v>1</v>
      </c>
      <c r="AM6">
        <f t="shared" si="17"/>
        <v>1</v>
      </c>
      <c r="AN6">
        <f t="shared" si="18"/>
        <v>1</v>
      </c>
      <c r="AO6">
        <f t="shared" si="19"/>
        <v>1</v>
      </c>
      <c r="AP6">
        <f t="shared" si="20"/>
        <v>1</v>
      </c>
      <c r="AQ6">
        <f t="shared" si="21"/>
        <v>1</v>
      </c>
      <c r="AR6">
        <f t="shared" si="22"/>
        <v>1</v>
      </c>
      <c r="AS6">
        <f t="shared" si="23"/>
        <v>1</v>
      </c>
      <c r="AT6">
        <f t="shared" si="24"/>
        <v>1</v>
      </c>
      <c r="AU6">
        <f t="shared" si="25"/>
        <v>1</v>
      </c>
      <c r="AV6">
        <f t="shared" si="26"/>
        <v>1</v>
      </c>
      <c r="AW6">
        <f t="shared" si="27"/>
        <v>1</v>
      </c>
      <c r="AX6">
        <f t="shared" si="28"/>
        <v>1</v>
      </c>
      <c r="AY6">
        <f t="shared" si="29"/>
        <v>1</v>
      </c>
      <c r="AZ6">
        <f t="shared" si="30"/>
        <v>1</v>
      </c>
      <c r="BA6">
        <f t="shared" si="31"/>
        <v>1</v>
      </c>
      <c r="BB6">
        <f t="shared" si="32"/>
        <v>1</v>
      </c>
      <c r="BC6">
        <f t="shared" si="33"/>
        <v>1</v>
      </c>
      <c r="BD6">
        <f t="shared" si="34"/>
        <v>1</v>
      </c>
      <c r="BE6">
        <f t="shared" si="35"/>
        <v>1</v>
      </c>
      <c r="BF6">
        <f t="shared" si="36"/>
        <v>1</v>
      </c>
      <c r="BG6">
        <f t="shared" si="37"/>
        <v>1</v>
      </c>
      <c r="BH6">
        <f t="shared" si="38"/>
        <v>1</v>
      </c>
      <c r="BI6">
        <f t="shared" si="39"/>
        <v>1</v>
      </c>
      <c r="BJ6">
        <f t="shared" si="40"/>
        <v>1</v>
      </c>
      <c r="BK6">
        <f t="shared" si="41"/>
        <v>1</v>
      </c>
      <c r="BL6">
        <f t="shared" si="42"/>
        <v>1</v>
      </c>
      <c r="BM6">
        <f t="shared" si="43"/>
        <v>1</v>
      </c>
      <c r="BN6">
        <f t="shared" si="44"/>
        <v>1</v>
      </c>
      <c r="BO6">
        <f t="shared" si="45"/>
        <v>1</v>
      </c>
      <c r="BP6">
        <f t="shared" si="46"/>
        <v>1</v>
      </c>
      <c r="BQ6">
        <f t="shared" si="47"/>
        <v>1</v>
      </c>
      <c r="BR6">
        <f t="shared" si="48"/>
        <v>1</v>
      </c>
      <c r="BS6">
        <f t="shared" si="49"/>
        <v>1</v>
      </c>
      <c r="BT6">
        <f t="shared" si="50"/>
        <v>1</v>
      </c>
    </row>
    <row r="7" spans="1:72" ht="39" customHeight="1" x14ac:dyDescent="0.3">
      <c r="A7" s="23">
        <v>3000</v>
      </c>
      <c r="B7" s="24" t="s">
        <v>50</v>
      </c>
      <c r="C7" s="25">
        <v>66</v>
      </c>
      <c r="D7" s="26">
        <v>21977</v>
      </c>
      <c r="E7" s="26" t="s">
        <v>34</v>
      </c>
      <c r="F7" s="26">
        <v>1876</v>
      </c>
      <c r="G7" s="24" t="s">
        <v>46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47</v>
      </c>
      <c r="W7" s="28">
        <f t="shared" si="11"/>
        <v>183447</v>
      </c>
      <c r="X7" s="28">
        <f>+W7+R7-1</f>
        <v>183446</v>
      </c>
      <c r="Y7" s="28" t="s">
        <v>48</v>
      </c>
      <c r="Z7" s="28">
        <f t="shared" ca="1" si="12"/>
        <v>7009.2000000000007</v>
      </c>
      <c r="AA7" s="28"/>
      <c r="AB7" s="28"/>
      <c r="AC7" s="32">
        <f t="shared" si="13"/>
        <v>232946</v>
      </c>
      <c r="AD7" s="32">
        <f t="shared" si="14"/>
        <v>1</v>
      </c>
      <c r="AE7" s="28" t="str">
        <f t="shared" si="15"/>
        <v>SETTLED</v>
      </c>
      <c r="AF7" s="28" t="s">
        <v>51</v>
      </c>
      <c r="AG7" s="33">
        <v>1800003347</v>
      </c>
      <c r="AH7" s="34" t="s">
        <v>44</v>
      </c>
      <c r="AL7">
        <f t="shared" si="16"/>
        <v>1</v>
      </c>
      <c r="AM7">
        <f t="shared" si="17"/>
        <v>1</v>
      </c>
      <c r="AN7">
        <f t="shared" si="18"/>
        <v>1</v>
      </c>
      <c r="AO7">
        <f t="shared" si="19"/>
        <v>1</v>
      </c>
      <c r="AP7">
        <f t="shared" si="20"/>
        <v>1</v>
      </c>
      <c r="AQ7">
        <f t="shared" si="21"/>
        <v>1</v>
      </c>
      <c r="AR7">
        <f t="shared" si="22"/>
        <v>1</v>
      </c>
      <c r="AS7">
        <f t="shared" si="23"/>
        <v>1</v>
      </c>
      <c r="AT7">
        <f t="shared" si="24"/>
        <v>1</v>
      </c>
      <c r="AU7">
        <f t="shared" si="25"/>
        <v>1</v>
      </c>
      <c r="AV7">
        <f t="shared" si="26"/>
        <v>1</v>
      </c>
      <c r="AW7">
        <f t="shared" si="27"/>
        <v>1</v>
      </c>
      <c r="AX7">
        <f t="shared" si="28"/>
        <v>1</v>
      </c>
      <c r="AY7">
        <f t="shared" si="29"/>
        <v>1</v>
      </c>
      <c r="AZ7">
        <f t="shared" si="30"/>
        <v>1</v>
      </c>
      <c r="BA7">
        <f t="shared" si="31"/>
        <v>1</v>
      </c>
      <c r="BB7">
        <f t="shared" si="32"/>
        <v>1</v>
      </c>
      <c r="BC7">
        <f t="shared" si="33"/>
        <v>1</v>
      </c>
      <c r="BD7">
        <f t="shared" si="34"/>
        <v>1</v>
      </c>
      <c r="BE7">
        <f t="shared" si="35"/>
        <v>1</v>
      </c>
      <c r="BF7">
        <f t="shared" si="36"/>
        <v>1</v>
      </c>
      <c r="BG7">
        <f t="shared" si="37"/>
        <v>1</v>
      </c>
      <c r="BH7">
        <f t="shared" si="38"/>
        <v>1</v>
      </c>
      <c r="BI7">
        <f t="shared" si="39"/>
        <v>1</v>
      </c>
      <c r="BJ7">
        <f t="shared" si="40"/>
        <v>1</v>
      </c>
      <c r="BK7">
        <f t="shared" si="41"/>
        <v>1</v>
      </c>
      <c r="BL7">
        <f t="shared" si="42"/>
        <v>1</v>
      </c>
      <c r="BM7">
        <f t="shared" si="43"/>
        <v>1</v>
      </c>
      <c r="BN7">
        <f t="shared" si="44"/>
        <v>1</v>
      </c>
      <c r="BO7">
        <f t="shared" si="45"/>
        <v>1</v>
      </c>
      <c r="BP7">
        <f t="shared" si="46"/>
        <v>1</v>
      </c>
      <c r="BQ7">
        <f t="shared" si="47"/>
        <v>1</v>
      </c>
      <c r="BR7">
        <f t="shared" si="48"/>
        <v>1</v>
      </c>
      <c r="BS7">
        <f t="shared" si="49"/>
        <v>1</v>
      </c>
      <c r="BT7">
        <f t="shared" si="50"/>
        <v>1</v>
      </c>
    </row>
    <row r="8" spans="1:72" ht="26.25" customHeight="1" x14ac:dyDescent="0.3">
      <c r="A8" s="35">
        <v>7253</v>
      </c>
      <c r="B8" s="36" t="s">
        <v>52</v>
      </c>
      <c r="C8" s="37">
        <v>227</v>
      </c>
      <c r="D8" s="38">
        <v>21980</v>
      </c>
      <c r="E8" s="38" t="s">
        <v>34</v>
      </c>
      <c r="F8" s="38">
        <v>1923</v>
      </c>
      <c r="G8" s="36" t="s">
        <v>53</v>
      </c>
      <c r="H8" s="39">
        <v>1646431</v>
      </c>
      <c r="I8" s="39">
        <f t="shared" si="0"/>
        <v>296358</v>
      </c>
      <c r="J8" s="39">
        <f t="shared" si="1"/>
        <v>1942789</v>
      </c>
      <c r="K8" s="39">
        <f t="shared" si="2"/>
        <v>38856</v>
      </c>
      <c r="L8" s="40">
        <f t="shared" si="3"/>
        <v>1646.431</v>
      </c>
      <c r="M8" s="40">
        <f t="shared" si="4"/>
        <v>43712.743049999997</v>
      </c>
      <c r="N8" s="41">
        <f t="shared" si="5"/>
        <v>740.89395000000002</v>
      </c>
      <c r="O8" s="40">
        <f t="shared" si="6"/>
        <v>42971.849099999999</v>
      </c>
      <c r="P8" s="40">
        <f t="shared" si="7"/>
        <v>44618</v>
      </c>
      <c r="Q8" s="42">
        <v>0.02</v>
      </c>
      <c r="R8" s="40">
        <f t="shared" si="8"/>
        <v>32929</v>
      </c>
      <c r="S8" s="39">
        <f t="shared" si="9"/>
        <v>1904097</v>
      </c>
      <c r="T8" s="40">
        <f t="shared" si="10"/>
        <v>411608</v>
      </c>
      <c r="U8" s="43">
        <f>+T8</f>
        <v>411608</v>
      </c>
      <c r="V8" s="40" t="s">
        <v>54</v>
      </c>
      <c r="W8" s="40">
        <f t="shared" si="11"/>
        <v>1492489</v>
      </c>
      <c r="X8" s="40">
        <v>1492490</v>
      </c>
      <c r="Y8" s="40" t="s">
        <v>36</v>
      </c>
      <c r="Z8" s="40">
        <f t="shared" ca="1" si="12"/>
        <v>58283.657399999996</v>
      </c>
      <c r="AA8" s="40"/>
      <c r="AB8" s="40"/>
      <c r="AC8" s="15">
        <f t="shared" si="13"/>
        <v>1904098</v>
      </c>
      <c r="AD8" s="19">
        <f t="shared" si="14"/>
        <v>-1</v>
      </c>
      <c r="AE8" s="20" t="str">
        <f t="shared" si="15"/>
        <v>SETTLED</v>
      </c>
      <c r="AF8" s="20" t="s">
        <v>55</v>
      </c>
      <c r="AG8" s="21">
        <v>1800003315</v>
      </c>
      <c r="AH8" s="22" t="s">
        <v>44</v>
      </c>
      <c r="AL8">
        <f t="shared" si="16"/>
        <v>1</v>
      </c>
      <c r="AM8">
        <f t="shared" si="17"/>
        <v>1</v>
      </c>
      <c r="AN8">
        <f t="shared" si="18"/>
        <v>1</v>
      </c>
      <c r="AO8">
        <f t="shared" si="19"/>
        <v>1</v>
      </c>
      <c r="AP8">
        <f t="shared" si="20"/>
        <v>1</v>
      </c>
      <c r="AQ8">
        <f t="shared" si="21"/>
        <v>1</v>
      </c>
      <c r="AR8">
        <f t="shared" si="22"/>
        <v>1</v>
      </c>
      <c r="AS8">
        <f t="shared" si="23"/>
        <v>1</v>
      </c>
      <c r="AT8">
        <f t="shared" si="24"/>
        <v>1</v>
      </c>
      <c r="AU8">
        <f t="shared" si="25"/>
        <v>1</v>
      </c>
      <c r="AV8">
        <f t="shared" si="26"/>
        <v>1</v>
      </c>
      <c r="AW8">
        <f t="shared" si="27"/>
        <v>1</v>
      </c>
      <c r="AX8">
        <f t="shared" si="28"/>
        <v>1</v>
      </c>
      <c r="AY8">
        <f t="shared" si="29"/>
        <v>1</v>
      </c>
      <c r="AZ8">
        <f t="shared" si="30"/>
        <v>1</v>
      </c>
      <c r="BA8">
        <f t="shared" si="31"/>
        <v>1</v>
      </c>
      <c r="BB8">
        <f t="shared" si="32"/>
        <v>1</v>
      </c>
      <c r="BC8">
        <f t="shared" si="33"/>
        <v>1</v>
      </c>
      <c r="BD8">
        <f t="shared" si="34"/>
        <v>1</v>
      </c>
      <c r="BE8">
        <f t="shared" si="35"/>
        <v>1</v>
      </c>
      <c r="BF8">
        <f t="shared" si="36"/>
        <v>1</v>
      </c>
      <c r="BG8">
        <f t="shared" si="37"/>
        <v>1</v>
      </c>
      <c r="BH8">
        <f t="shared" si="38"/>
        <v>1</v>
      </c>
      <c r="BI8">
        <f t="shared" si="39"/>
        <v>1</v>
      </c>
      <c r="BJ8">
        <f t="shared" si="40"/>
        <v>1</v>
      </c>
      <c r="BK8">
        <f t="shared" si="41"/>
        <v>1</v>
      </c>
      <c r="BL8">
        <f t="shared" si="42"/>
        <v>1</v>
      </c>
      <c r="BM8">
        <f t="shared" si="43"/>
        <v>1</v>
      </c>
      <c r="BN8">
        <f t="shared" si="44"/>
        <v>1</v>
      </c>
      <c r="BO8">
        <f t="shared" si="45"/>
        <v>1</v>
      </c>
      <c r="BP8">
        <f t="shared" si="46"/>
        <v>1</v>
      </c>
      <c r="BQ8">
        <f t="shared" si="47"/>
        <v>1</v>
      </c>
      <c r="BR8">
        <f t="shared" si="48"/>
        <v>1</v>
      </c>
      <c r="BS8">
        <f t="shared" si="49"/>
        <v>1</v>
      </c>
      <c r="BT8">
        <f t="shared" si="50"/>
        <v>1</v>
      </c>
    </row>
    <row r="9" spans="1:72" ht="14.25" customHeight="1" x14ac:dyDescent="0.3">
      <c r="A9" s="23">
        <v>1</v>
      </c>
      <c r="B9" s="24" t="s">
        <v>56</v>
      </c>
      <c r="C9" s="25">
        <v>2787314</v>
      </c>
      <c r="D9" s="26">
        <v>21977</v>
      </c>
      <c r="E9" s="26" t="s">
        <v>40</v>
      </c>
      <c r="F9" s="26">
        <v>1976</v>
      </c>
      <c r="G9" s="24" t="s">
        <v>57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42</v>
      </c>
      <c r="W9" s="28">
        <f t="shared" si="11"/>
        <v>2582446</v>
      </c>
      <c r="X9" s="28">
        <v>2582447.0942916102</v>
      </c>
      <c r="Y9" s="28" t="s">
        <v>42</v>
      </c>
      <c r="Z9" s="28">
        <f t="shared" ca="1" si="12"/>
        <v>98670.915600000008</v>
      </c>
      <c r="AA9" s="28"/>
      <c r="AB9" s="28"/>
      <c r="AC9" s="32">
        <f t="shared" si="13"/>
        <v>3279276.0942916102</v>
      </c>
      <c r="AD9" s="32">
        <f t="shared" si="14"/>
        <v>-1.0942916101776063</v>
      </c>
      <c r="AE9" s="28" t="str">
        <f t="shared" si="15"/>
        <v>SETTLED</v>
      </c>
      <c r="AF9" s="28" t="s">
        <v>58</v>
      </c>
      <c r="AG9" s="33">
        <v>1800003194</v>
      </c>
      <c r="AH9" s="34" t="s">
        <v>59</v>
      </c>
      <c r="AL9">
        <f t="shared" si="16"/>
        <v>1</v>
      </c>
      <c r="AM9">
        <f t="shared" si="17"/>
        <v>1</v>
      </c>
      <c r="AN9">
        <f t="shared" si="18"/>
        <v>1</v>
      </c>
      <c r="AO9">
        <f t="shared" si="19"/>
        <v>1</v>
      </c>
      <c r="AP9">
        <f t="shared" si="20"/>
        <v>1</v>
      </c>
      <c r="AQ9">
        <f t="shared" si="21"/>
        <v>1</v>
      </c>
      <c r="AR9">
        <f t="shared" si="22"/>
        <v>1</v>
      </c>
      <c r="AS9">
        <f t="shared" si="23"/>
        <v>1</v>
      </c>
      <c r="AT9">
        <f t="shared" si="24"/>
        <v>1</v>
      </c>
      <c r="AU9">
        <f t="shared" si="25"/>
        <v>1</v>
      </c>
      <c r="AV9">
        <f t="shared" si="26"/>
        <v>1</v>
      </c>
      <c r="AW9">
        <f t="shared" si="27"/>
        <v>1</v>
      </c>
      <c r="AX9">
        <f t="shared" si="28"/>
        <v>1</v>
      </c>
      <c r="AY9">
        <f t="shared" si="29"/>
        <v>1</v>
      </c>
      <c r="AZ9">
        <f t="shared" si="30"/>
        <v>1</v>
      </c>
      <c r="BA9">
        <f t="shared" si="31"/>
        <v>1</v>
      </c>
      <c r="BB9">
        <f t="shared" si="32"/>
        <v>1</v>
      </c>
      <c r="BC9">
        <f t="shared" si="33"/>
        <v>1</v>
      </c>
      <c r="BD9">
        <f t="shared" si="34"/>
        <v>1</v>
      </c>
      <c r="BE9">
        <f t="shared" si="35"/>
        <v>1</v>
      </c>
      <c r="BF9">
        <f t="shared" si="36"/>
        <v>1</v>
      </c>
      <c r="BG9">
        <f t="shared" si="37"/>
        <v>1</v>
      </c>
      <c r="BH9">
        <f t="shared" si="38"/>
        <v>1</v>
      </c>
      <c r="BI9">
        <f t="shared" si="39"/>
        <v>1</v>
      </c>
      <c r="BJ9">
        <f t="shared" si="40"/>
        <v>1</v>
      </c>
      <c r="BK9">
        <f t="shared" si="41"/>
        <v>1</v>
      </c>
      <c r="BL9">
        <f t="shared" si="42"/>
        <v>1</v>
      </c>
      <c r="BM9">
        <f t="shared" si="43"/>
        <v>1</v>
      </c>
      <c r="BN9">
        <f t="shared" si="44"/>
        <v>1</v>
      </c>
      <c r="BO9">
        <f t="shared" si="45"/>
        <v>1</v>
      </c>
      <c r="BP9">
        <f t="shared" si="46"/>
        <v>1</v>
      </c>
      <c r="BQ9">
        <f t="shared" si="47"/>
        <v>1</v>
      </c>
      <c r="BR9">
        <f t="shared" si="48"/>
        <v>1</v>
      </c>
      <c r="BS9">
        <f t="shared" si="49"/>
        <v>1</v>
      </c>
      <c r="BT9">
        <f t="shared" si="50"/>
        <v>1</v>
      </c>
    </row>
    <row r="10" spans="1:72" ht="14.25" customHeight="1" x14ac:dyDescent="0.3">
      <c r="A10" s="35">
        <v>4</v>
      </c>
      <c r="B10" s="36" t="s">
        <v>60</v>
      </c>
      <c r="C10" s="37">
        <v>51511</v>
      </c>
      <c r="D10" s="38">
        <v>21977</v>
      </c>
      <c r="E10" s="38" t="s">
        <v>40</v>
      </c>
      <c r="F10" s="38">
        <v>2002</v>
      </c>
      <c r="G10" s="36" t="s">
        <v>41</v>
      </c>
      <c r="H10" s="39">
        <v>206044</v>
      </c>
      <c r="I10" s="39">
        <f t="shared" si="0"/>
        <v>37088</v>
      </c>
      <c r="J10" s="39">
        <f t="shared" si="1"/>
        <v>243132</v>
      </c>
      <c r="K10" s="39">
        <f t="shared" si="2"/>
        <v>4863</v>
      </c>
      <c r="L10" s="40">
        <f t="shared" si="3"/>
        <v>206.04400000000001</v>
      </c>
      <c r="M10" s="40">
        <f t="shared" si="4"/>
        <v>5470.4681999999993</v>
      </c>
      <c r="N10" s="41">
        <f t="shared" si="5"/>
        <v>92.719799999999992</v>
      </c>
      <c r="O10" s="40">
        <f t="shared" si="6"/>
        <v>5377.7483999999995</v>
      </c>
      <c r="P10" s="40">
        <f t="shared" si="7"/>
        <v>5584</v>
      </c>
      <c r="Q10" s="42">
        <v>0</v>
      </c>
      <c r="R10" s="40">
        <f t="shared" si="8"/>
        <v>0</v>
      </c>
      <c r="S10" s="39">
        <f t="shared" si="9"/>
        <v>242411</v>
      </c>
      <c r="T10" s="40">
        <f t="shared" si="10"/>
        <v>51511</v>
      </c>
      <c r="U10" s="43">
        <f>+T10</f>
        <v>51511</v>
      </c>
      <c r="V10" s="40" t="s">
        <v>42</v>
      </c>
      <c r="W10" s="40">
        <f t="shared" si="11"/>
        <v>190900</v>
      </c>
      <c r="X10" s="40">
        <v>190900</v>
      </c>
      <c r="Y10" s="40" t="s">
        <v>36</v>
      </c>
      <c r="Z10" s="40">
        <f t="shared" ca="1" si="12"/>
        <v>7293.9575999999997</v>
      </c>
      <c r="AA10" s="40"/>
      <c r="AB10" s="40"/>
      <c r="AC10" s="15">
        <f t="shared" si="13"/>
        <v>242411</v>
      </c>
      <c r="AD10" s="19">
        <f t="shared" si="14"/>
        <v>0</v>
      </c>
      <c r="AE10" s="20" t="str">
        <f t="shared" si="15"/>
        <v>SETTLED</v>
      </c>
      <c r="AF10" s="20" t="s">
        <v>61</v>
      </c>
      <c r="AG10" s="21">
        <v>1800003303</v>
      </c>
      <c r="AH10" s="22" t="s">
        <v>44</v>
      </c>
      <c r="AL10">
        <f t="shared" si="16"/>
        <v>1</v>
      </c>
      <c r="AM10">
        <f t="shared" si="17"/>
        <v>1</v>
      </c>
      <c r="AN10">
        <f t="shared" si="18"/>
        <v>1</v>
      </c>
      <c r="AO10">
        <f t="shared" si="19"/>
        <v>1</v>
      </c>
      <c r="AP10">
        <f t="shared" si="20"/>
        <v>1</v>
      </c>
      <c r="AQ10">
        <f t="shared" si="21"/>
        <v>1</v>
      </c>
      <c r="AR10">
        <f t="shared" si="22"/>
        <v>1</v>
      </c>
      <c r="AS10">
        <f t="shared" si="23"/>
        <v>1</v>
      </c>
      <c r="AT10">
        <f t="shared" si="24"/>
        <v>1</v>
      </c>
      <c r="AU10">
        <f t="shared" si="25"/>
        <v>1</v>
      </c>
      <c r="AV10">
        <f t="shared" si="26"/>
        <v>1</v>
      </c>
      <c r="AW10">
        <f t="shared" si="27"/>
        <v>1</v>
      </c>
      <c r="AX10">
        <f t="shared" si="28"/>
        <v>1</v>
      </c>
      <c r="AY10">
        <f t="shared" si="29"/>
        <v>1</v>
      </c>
      <c r="AZ10">
        <f t="shared" si="30"/>
        <v>1</v>
      </c>
      <c r="BA10">
        <f t="shared" si="31"/>
        <v>1</v>
      </c>
      <c r="BB10">
        <f t="shared" si="32"/>
        <v>1</v>
      </c>
      <c r="BC10">
        <f t="shared" si="33"/>
        <v>1</v>
      </c>
      <c r="BD10">
        <f t="shared" si="34"/>
        <v>1</v>
      </c>
      <c r="BE10">
        <f t="shared" si="35"/>
        <v>1</v>
      </c>
      <c r="BF10">
        <f t="shared" si="36"/>
        <v>1</v>
      </c>
      <c r="BG10">
        <f t="shared" si="37"/>
        <v>1</v>
      </c>
      <c r="BH10">
        <f t="shared" si="38"/>
        <v>1</v>
      </c>
      <c r="BI10">
        <f t="shared" si="39"/>
        <v>1</v>
      </c>
      <c r="BJ10">
        <f t="shared" si="40"/>
        <v>1</v>
      </c>
      <c r="BK10">
        <f t="shared" si="41"/>
        <v>1</v>
      </c>
      <c r="BL10">
        <f t="shared" si="42"/>
        <v>1</v>
      </c>
      <c r="BM10">
        <f t="shared" si="43"/>
        <v>1</v>
      </c>
      <c r="BN10">
        <f t="shared" si="44"/>
        <v>1</v>
      </c>
      <c r="BO10">
        <f t="shared" si="45"/>
        <v>1</v>
      </c>
      <c r="BP10">
        <f t="shared" si="46"/>
        <v>1</v>
      </c>
      <c r="BQ10">
        <f t="shared" si="47"/>
        <v>1</v>
      </c>
      <c r="BR10">
        <f t="shared" si="48"/>
        <v>1</v>
      </c>
      <c r="BS10">
        <f t="shared" si="49"/>
        <v>1</v>
      </c>
      <c r="BT10">
        <f t="shared" si="50"/>
        <v>1</v>
      </c>
    </row>
    <row r="11" spans="1:72" ht="14.25" customHeight="1" x14ac:dyDescent="0.3">
      <c r="A11" s="23">
        <v>1</v>
      </c>
      <c r="B11" s="24" t="s">
        <v>62</v>
      </c>
      <c r="C11" s="25">
        <v>65007</v>
      </c>
      <c r="D11" s="26">
        <v>21977</v>
      </c>
      <c r="E11" s="26" t="s">
        <v>40</v>
      </c>
      <c r="F11" s="26">
        <v>2003</v>
      </c>
      <c r="G11" s="24" t="s">
        <v>41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42</v>
      </c>
      <c r="W11" s="28">
        <f t="shared" si="11"/>
        <v>60229</v>
      </c>
      <c r="X11" s="28">
        <v>60229</v>
      </c>
      <c r="Y11" s="28" t="s">
        <v>36</v>
      </c>
      <c r="Z11" s="28">
        <f t="shared" ca="1" si="12"/>
        <v>2301.2478000000001</v>
      </c>
      <c r="AA11" s="28"/>
      <c r="AB11" s="28"/>
      <c r="AC11" s="32">
        <f t="shared" si="13"/>
        <v>76481</v>
      </c>
      <c r="AD11" s="32">
        <f t="shared" si="14"/>
        <v>0</v>
      </c>
      <c r="AE11" s="28" t="str">
        <f t="shared" si="15"/>
        <v>SETTLED</v>
      </c>
      <c r="AF11" s="28" t="s">
        <v>63</v>
      </c>
      <c r="AG11" s="33">
        <v>1800003304</v>
      </c>
      <c r="AH11" s="34" t="s">
        <v>44</v>
      </c>
      <c r="AL11">
        <f t="shared" si="16"/>
        <v>1</v>
      </c>
      <c r="AM11">
        <f t="shared" si="17"/>
        <v>1</v>
      </c>
      <c r="AN11">
        <f t="shared" si="18"/>
        <v>1</v>
      </c>
      <c r="AO11">
        <f t="shared" si="19"/>
        <v>1</v>
      </c>
      <c r="AP11">
        <f t="shared" si="20"/>
        <v>1</v>
      </c>
      <c r="AQ11">
        <f t="shared" si="21"/>
        <v>1</v>
      </c>
      <c r="AR11">
        <f t="shared" si="22"/>
        <v>1</v>
      </c>
      <c r="AS11">
        <f t="shared" si="23"/>
        <v>1</v>
      </c>
      <c r="AT11">
        <f t="shared" si="24"/>
        <v>1</v>
      </c>
      <c r="AU11">
        <f t="shared" si="25"/>
        <v>1</v>
      </c>
      <c r="AV11">
        <f t="shared" si="26"/>
        <v>1</v>
      </c>
      <c r="AW11">
        <f t="shared" si="27"/>
        <v>1</v>
      </c>
      <c r="AX11">
        <f t="shared" si="28"/>
        <v>1</v>
      </c>
      <c r="AY11">
        <f t="shared" si="29"/>
        <v>1</v>
      </c>
      <c r="AZ11">
        <f t="shared" si="30"/>
        <v>1</v>
      </c>
      <c r="BA11">
        <f t="shared" si="31"/>
        <v>1</v>
      </c>
      <c r="BB11">
        <f t="shared" si="32"/>
        <v>1</v>
      </c>
      <c r="BC11">
        <f t="shared" si="33"/>
        <v>1</v>
      </c>
      <c r="BD11">
        <f t="shared" si="34"/>
        <v>1</v>
      </c>
      <c r="BE11">
        <f t="shared" si="35"/>
        <v>1</v>
      </c>
      <c r="BF11">
        <f t="shared" si="36"/>
        <v>1</v>
      </c>
      <c r="BG11">
        <f t="shared" si="37"/>
        <v>1</v>
      </c>
      <c r="BH11">
        <f t="shared" si="38"/>
        <v>1</v>
      </c>
      <c r="BI11">
        <f t="shared" si="39"/>
        <v>1</v>
      </c>
      <c r="BJ11">
        <f t="shared" si="40"/>
        <v>1</v>
      </c>
      <c r="BK11">
        <f t="shared" si="41"/>
        <v>1</v>
      </c>
      <c r="BL11">
        <f t="shared" si="42"/>
        <v>1</v>
      </c>
      <c r="BM11">
        <f t="shared" si="43"/>
        <v>1</v>
      </c>
      <c r="BN11">
        <f t="shared" si="44"/>
        <v>1</v>
      </c>
      <c r="BO11">
        <f t="shared" si="45"/>
        <v>1</v>
      </c>
      <c r="BP11">
        <f t="shared" si="46"/>
        <v>1</v>
      </c>
      <c r="BQ11">
        <f t="shared" si="47"/>
        <v>1</v>
      </c>
      <c r="BR11">
        <f t="shared" si="48"/>
        <v>1</v>
      </c>
      <c r="BS11">
        <f t="shared" si="49"/>
        <v>1</v>
      </c>
      <c r="BT11">
        <f t="shared" si="50"/>
        <v>1</v>
      </c>
    </row>
    <row r="12" spans="1:72" ht="14.25" customHeight="1" x14ac:dyDescent="0.3">
      <c r="A12" s="35">
        <v>1</v>
      </c>
      <c r="B12" s="36" t="s">
        <v>64</v>
      </c>
      <c r="C12" s="37">
        <v>70006</v>
      </c>
      <c r="D12" s="38">
        <v>21977</v>
      </c>
      <c r="E12" s="38" t="s">
        <v>40</v>
      </c>
      <c r="F12" s="38">
        <v>2005</v>
      </c>
      <c r="G12" s="36" t="s">
        <v>41</v>
      </c>
      <c r="H12" s="39">
        <v>70006</v>
      </c>
      <c r="I12" s="39">
        <f t="shared" si="0"/>
        <v>12601</v>
      </c>
      <c r="J12" s="39">
        <f t="shared" si="1"/>
        <v>82607</v>
      </c>
      <c r="K12" s="39">
        <f t="shared" si="2"/>
        <v>1652</v>
      </c>
      <c r="L12" s="40">
        <f t="shared" si="3"/>
        <v>70.006</v>
      </c>
      <c r="M12" s="40">
        <f t="shared" si="4"/>
        <v>1858.6592999999998</v>
      </c>
      <c r="N12" s="41">
        <f t="shared" si="5"/>
        <v>31.502700000000001</v>
      </c>
      <c r="O12" s="40">
        <f t="shared" si="6"/>
        <v>1827.1565999999998</v>
      </c>
      <c r="P12" s="40">
        <f t="shared" si="7"/>
        <v>1897</v>
      </c>
      <c r="Q12" s="42">
        <v>0</v>
      </c>
      <c r="R12" s="40">
        <f t="shared" si="8"/>
        <v>0</v>
      </c>
      <c r="S12" s="39">
        <f t="shared" si="9"/>
        <v>82362</v>
      </c>
      <c r="T12" s="40">
        <f t="shared" si="10"/>
        <v>17502</v>
      </c>
      <c r="U12" s="43">
        <f>+T12</f>
        <v>17502</v>
      </c>
      <c r="V12" s="40" t="s">
        <v>42</v>
      </c>
      <c r="W12" s="40">
        <f t="shared" si="11"/>
        <v>64861</v>
      </c>
      <c r="X12" s="40">
        <v>64859</v>
      </c>
      <c r="Y12" s="40" t="s">
        <v>36</v>
      </c>
      <c r="Z12" s="40">
        <f t="shared" ca="1" si="12"/>
        <v>2478.2123999999999</v>
      </c>
      <c r="AA12" s="40"/>
      <c r="AB12" s="40"/>
      <c r="AC12" s="15">
        <f t="shared" si="13"/>
        <v>82361</v>
      </c>
      <c r="AD12" s="19">
        <f t="shared" si="14"/>
        <v>1</v>
      </c>
      <c r="AE12" s="20" t="str">
        <f t="shared" si="15"/>
        <v>SETTLED</v>
      </c>
      <c r="AF12" s="20" t="s">
        <v>65</v>
      </c>
      <c r="AG12" s="21">
        <v>1800003305</v>
      </c>
      <c r="AH12" s="22" t="s">
        <v>44</v>
      </c>
      <c r="AL12">
        <f t="shared" si="16"/>
        <v>1</v>
      </c>
      <c r="AM12">
        <f t="shared" si="17"/>
        <v>1</v>
      </c>
      <c r="AN12">
        <f t="shared" si="18"/>
        <v>1</v>
      </c>
      <c r="AO12">
        <f t="shared" si="19"/>
        <v>1</v>
      </c>
      <c r="AP12">
        <f t="shared" si="20"/>
        <v>1</v>
      </c>
      <c r="AQ12">
        <f t="shared" si="21"/>
        <v>1</v>
      </c>
      <c r="AR12">
        <f t="shared" si="22"/>
        <v>1</v>
      </c>
      <c r="AS12">
        <f t="shared" si="23"/>
        <v>1</v>
      </c>
      <c r="AT12">
        <f t="shared" si="24"/>
        <v>1</v>
      </c>
      <c r="AU12">
        <f t="shared" si="25"/>
        <v>1</v>
      </c>
      <c r="AV12">
        <f t="shared" si="26"/>
        <v>1</v>
      </c>
      <c r="AW12">
        <f t="shared" si="27"/>
        <v>1</v>
      </c>
      <c r="AX12">
        <f t="shared" si="28"/>
        <v>1</v>
      </c>
      <c r="AY12">
        <f t="shared" si="29"/>
        <v>1</v>
      </c>
      <c r="AZ12">
        <f t="shared" si="30"/>
        <v>1</v>
      </c>
      <c r="BA12">
        <f t="shared" si="31"/>
        <v>1</v>
      </c>
      <c r="BB12">
        <f t="shared" si="32"/>
        <v>1</v>
      </c>
      <c r="BC12">
        <f t="shared" si="33"/>
        <v>1</v>
      </c>
      <c r="BD12">
        <f t="shared" si="34"/>
        <v>1</v>
      </c>
      <c r="BE12">
        <f t="shared" si="35"/>
        <v>1</v>
      </c>
      <c r="BF12">
        <f t="shared" si="36"/>
        <v>1</v>
      </c>
      <c r="BG12">
        <f t="shared" si="37"/>
        <v>1</v>
      </c>
      <c r="BH12">
        <f t="shared" si="38"/>
        <v>1</v>
      </c>
      <c r="BI12">
        <f t="shared" si="39"/>
        <v>1</v>
      </c>
      <c r="BJ12">
        <f t="shared" si="40"/>
        <v>1</v>
      </c>
      <c r="BK12">
        <f t="shared" si="41"/>
        <v>1</v>
      </c>
      <c r="BL12">
        <f t="shared" si="42"/>
        <v>1</v>
      </c>
      <c r="BM12">
        <f t="shared" si="43"/>
        <v>1</v>
      </c>
      <c r="BN12">
        <f t="shared" si="44"/>
        <v>1</v>
      </c>
      <c r="BO12">
        <f t="shared" si="45"/>
        <v>1</v>
      </c>
      <c r="BP12">
        <f t="shared" si="46"/>
        <v>1</v>
      </c>
      <c r="BQ12">
        <f t="shared" si="47"/>
        <v>1</v>
      </c>
      <c r="BR12">
        <f t="shared" si="48"/>
        <v>1</v>
      </c>
      <c r="BS12">
        <f t="shared" si="49"/>
        <v>1</v>
      </c>
      <c r="BT12">
        <f t="shared" si="50"/>
        <v>1</v>
      </c>
    </row>
    <row r="13" spans="1:72" ht="14.25" customHeight="1" x14ac:dyDescent="0.3">
      <c r="A13" s="23">
        <v>25</v>
      </c>
      <c r="B13" s="24" t="s">
        <v>66</v>
      </c>
      <c r="C13" s="25">
        <v>700</v>
      </c>
      <c r="D13" s="26">
        <v>21977</v>
      </c>
      <c r="E13" s="26" t="s">
        <v>40</v>
      </c>
      <c r="F13" s="26">
        <v>2006</v>
      </c>
      <c r="G13" s="24" t="s">
        <v>67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47</v>
      </c>
      <c r="W13" s="28">
        <f t="shared" si="11"/>
        <v>16214</v>
      </c>
      <c r="X13" s="28">
        <v>16214</v>
      </c>
      <c r="Y13" s="28" t="s">
        <v>47</v>
      </c>
      <c r="Z13" s="28">
        <f t="shared" ca="1" si="12"/>
        <v>619.5</v>
      </c>
      <c r="AA13" s="28"/>
      <c r="AB13" s="28"/>
      <c r="AC13" s="32">
        <f t="shared" si="13"/>
        <v>20589</v>
      </c>
      <c r="AD13" s="32">
        <f t="shared" si="14"/>
        <v>0</v>
      </c>
      <c r="AE13" s="28" t="str">
        <f t="shared" si="15"/>
        <v>SETTLED</v>
      </c>
      <c r="AF13" s="28" t="s">
        <v>68</v>
      </c>
      <c r="AG13" s="33">
        <v>1800003156</v>
      </c>
      <c r="AH13" s="34" t="s">
        <v>54</v>
      </c>
      <c r="AL13">
        <f t="shared" si="16"/>
        <v>1</v>
      </c>
      <c r="AM13">
        <f t="shared" si="17"/>
        <v>1</v>
      </c>
      <c r="AN13">
        <f t="shared" si="18"/>
        <v>1</v>
      </c>
      <c r="AO13">
        <f t="shared" si="19"/>
        <v>1</v>
      </c>
      <c r="AP13">
        <f t="shared" si="20"/>
        <v>1</v>
      </c>
      <c r="AQ13">
        <f t="shared" si="21"/>
        <v>1</v>
      </c>
      <c r="AR13">
        <f t="shared" si="22"/>
        <v>1</v>
      </c>
      <c r="AS13">
        <f t="shared" si="23"/>
        <v>1</v>
      </c>
      <c r="AT13">
        <f t="shared" si="24"/>
        <v>1</v>
      </c>
      <c r="AU13">
        <f t="shared" si="25"/>
        <v>1</v>
      </c>
      <c r="AV13">
        <f t="shared" si="26"/>
        <v>1</v>
      </c>
      <c r="AW13">
        <f t="shared" si="27"/>
        <v>1</v>
      </c>
      <c r="AX13">
        <f t="shared" si="28"/>
        <v>1</v>
      </c>
      <c r="AY13">
        <f t="shared" si="29"/>
        <v>1</v>
      </c>
      <c r="AZ13">
        <f t="shared" si="30"/>
        <v>1</v>
      </c>
      <c r="BA13">
        <f t="shared" si="31"/>
        <v>1</v>
      </c>
      <c r="BB13">
        <f t="shared" si="32"/>
        <v>1</v>
      </c>
      <c r="BC13">
        <f t="shared" si="33"/>
        <v>1</v>
      </c>
      <c r="BD13">
        <f t="shared" si="34"/>
        <v>1</v>
      </c>
      <c r="BE13">
        <f t="shared" si="35"/>
        <v>1</v>
      </c>
      <c r="BF13">
        <f t="shared" si="36"/>
        <v>1</v>
      </c>
      <c r="BG13">
        <f t="shared" si="37"/>
        <v>1</v>
      </c>
      <c r="BH13">
        <f t="shared" si="38"/>
        <v>1</v>
      </c>
      <c r="BI13">
        <f t="shared" si="39"/>
        <v>1</v>
      </c>
      <c r="BJ13">
        <f t="shared" si="40"/>
        <v>1</v>
      </c>
      <c r="BK13">
        <f t="shared" si="41"/>
        <v>1</v>
      </c>
      <c r="BL13">
        <f t="shared" si="42"/>
        <v>1</v>
      </c>
      <c r="BM13">
        <f t="shared" si="43"/>
        <v>1</v>
      </c>
      <c r="BN13">
        <f t="shared" si="44"/>
        <v>1</v>
      </c>
      <c r="BO13">
        <f t="shared" si="45"/>
        <v>1</v>
      </c>
      <c r="BP13">
        <f t="shared" si="46"/>
        <v>1</v>
      </c>
      <c r="BQ13">
        <f t="shared" si="47"/>
        <v>1</v>
      </c>
      <c r="BR13">
        <f t="shared" si="48"/>
        <v>1</v>
      </c>
      <c r="BS13">
        <f t="shared" si="49"/>
        <v>1</v>
      </c>
      <c r="BT13">
        <f t="shared" si="50"/>
        <v>1</v>
      </c>
    </row>
    <row r="14" spans="1:72" ht="14.25" customHeight="1" x14ac:dyDescent="0.3">
      <c r="A14" s="35">
        <v>1</v>
      </c>
      <c r="B14" s="36" t="s">
        <v>69</v>
      </c>
      <c r="C14" s="37">
        <v>3857116</v>
      </c>
      <c r="D14" s="38">
        <v>21977</v>
      </c>
      <c r="E14" s="38" t="s">
        <v>40</v>
      </c>
      <c r="F14" s="38">
        <v>2007</v>
      </c>
      <c r="G14" s="36" t="s">
        <v>57</v>
      </c>
      <c r="H14" s="39">
        <v>3857116</v>
      </c>
      <c r="I14" s="39">
        <f t="shared" si="0"/>
        <v>694281</v>
      </c>
      <c r="J14" s="39">
        <f t="shared" si="1"/>
        <v>4551397</v>
      </c>
      <c r="K14" s="39">
        <f t="shared" si="2"/>
        <v>91028</v>
      </c>
      <c r="L14" s="40">
        <f t="shared" si="3"/>
        <v>3857.116</v>
      </c>
      <c r="M14" s="40">
        <f t="shared" si="4"/>
        <v>102406.4298</v>
      </c>
      <c r="N14" s="41">
        <f t="shared" si="5"/>
        <v>1735.7021999999999</v>
      </c>
      <c r="O14" s="40">
        <f t="shared" si="6"/>
        <v>100670.7276</v>
      </c>
      <c r="P14" s="40">
        <f t="shared" si="7"/>
        <v>104528</v>
      </c>
      <c r="Q14" s="42">
        <v>0</v>
      </c>
      <c r="R14" s="40">
        <f t="shared" si="8"/>
        <v>0</v>
      </c>
      <c r="S14" s="39">
        <f t="shared" si="9"/>
        <v>4537897</v>
      </c>
      <c r="T14" s="40">
        <f t="shared" si="10"/>
        <v>964279</v>
      </c>
      <c r="U14" s="43">
        <f>+T14</f>
        <v>964279</v>
      </c>
      <c r="V14" s="40" t="s">
        <v>42</v>
      </c>
      <c r="W14" s="40">
        <f t="shared" si="11"/>
        <v>3573618</v>
      </c>
      <c r="X14" s="40">
        <v>3573618.9057083898</v>
      </c>
      <c r="Y14" s="40" t="s">
        <v>42</v>
      </c>
      <c r="Z14" s="40">
        <f t="shared" ca="1" si="12"/>
        <v>136541.90640000001</v>
      </c>
      <c r="AA14" s="40"/>
      <c r="AB14" s="40"/>
      <c r="AC14" s="15">
        <f t="shared" si="13"/>
        <v>4537897.9057083894</v>
      </c>
      <c r="AD14" s="19">
        <f t="shared" si="14"/>
        <v>-0.90570838935673237</v>
      </c>
      <c r="AE14" s="20" t="str">
        <f t="shared" si="15"/>
        <v>SETTLED</v>
      </c>
      <c r="AF14" s="20" t="s">
        <v>70</v>
      </c>
      <c r="AG14" s="21">
        <v>1800003196</v>
      </c>
      <c r="AH14" s="22" t="s">
        <v>59</v>
      </c>
      <c r="AL14">
        <f t="shared" si="16"/>
        <v>1</v>
      </c>
      <c r="AM14">
        <f t="shared" si="17"/>
        <v>1</v>
      </c>
      <c r="AN14">
        <f t="shared" si="18"/>
        <v>1</v>
      </c>
      <c r="AO14">
        <f t="shared" si="19"/>
        <v>1</v>
      </c>
      <c r="AP14">
        <f t="shared" si="20"/>
        <v>1</v>
      </c>
      <c r="AQ14">
        <f t="shared" si="21"/>
        <v>1</v>
      </c>
      <c r="AR14">
        <f t="shared" si="22"/>
        <v>1</v>
      </c>
      <c r="AS14">
        <f t="shared" si="23"/>
        <v>1</v>
      </c>
      <c r="AT14">
        <f t="shared" si="24"/>
        <v>1</v>
      </c>
      <c r="AU14">
        <f t="shared" si="25"/>
        <v>1</v>
      </c>
      <c r="AV14">
        <f t="shared" si="26"/>
        <v>1</v>
      </c>
      <c r="AW14">
        <f t="shared" si="27"/>
        <v>1</v>
      </c>
      <c r="AX14">
        <f t="shared" si="28"/>
        <v>1</v>
      </c>
      <c r="AY14">
        <f t="shared" si="29"/>
        <v>1</v>
      </c>
      <c r="AZ14">
        <f t="shared" si="30"/>
        <v>1</v>
      </c>
      <c r="BA14">
        <f t="shared" si="31"/>
        <v>1</v>
      </c>
      <c r="BB14">
        <f t="shared" si="32"/>
        <v>1</v>
      </c>
      <c r="BC14">
        <f t="shared" si="33"/>
        <v>1</v>
      </c>
      <c r="BD14">
        <f t="shared" si="34"/>
        <v>1</v>
      </c>
      <c r="BE14">
        <f t="shared" si="35"/>
        <v>1</v>
      </c>
      <c r="BF14">
        <f t="shared" si="36"/>
        <v>1</v>
      </c>
      <c r="BG14">
        <f t="shared" si="37"/>
        <v>1</v>
      </c>
      <c r="BH14">
        <f t="shared" si="38"/>
        <v>1</v>
      </c>
      <c r="BI14">
        <f t="shared" si="39"/>
        <v>1</v>
      </c>
      <c r="BJ14">
        <f t="shared" si="40"/>
        <v>1</v>
      </c>
      <c r="BK14">
        <f t="shared" si="41"/>
        <v>1</v>
      </c>
      <c r="BL14">
        <f t="shared" si="42"/>
        <v>1</v>
      </c>
      <c r="BM14">
        <f t="shared" si="43"/>
        <v>1</v>
      </c>
      <c r="BN14">
        <f t="shared" si="44"/>
        <v>1</v>
      </c>
      <c r="BO14">
        <f t="shared" si="45"/>
        <v>1</v>
      </c>
      <c r="BP14">
        <f t="shared" si="46"/>
        <v>1</v>
      </c>
      <c r="BQ14">
        <f t="shared" si="47"/>
        <v>1</v>
      </c>
      <c r="BR14">
        <f t="shared" si="48"/>
        <v>1</v>
      </c>
      <c r="BS14">
        <f t="shared" si="49"/>
        <v>1</v>
      </c>
      <c r="BT14">
        <f t="shared" si="50"/>
        <v>1</v>
      </c>
    </row>
    <row r="15" spans="1:72" ht="14.25" customHeight="1" x14ac:dyDescent="0.3">
      <c r="A15" s="23">
        <v>250</v>
      </c>
      <c r="B15" s="24" t="s">
        <v>71</v>
      </c>
      <c r="C15" s="25">
        <v>543</v>
      </c>
      <c r="D15" s="26">
        <v>21977</v>
      </c>
      <c r="E15" s="26" t="s">
        <v>40</v>
      </c>
      <c r="F15" s="26">
        <v>2008</v>
      </c>
      <c r="G15" s="24" t="s">
        <v>72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54</v>
      </c>
      <c r="W15" s="28">
        <f t="shared" si="11"/>
        <v>125772</v>
      </c>
      <c r="X15" s="28">
        <v>125772</v>
      </c>
      <c r="Y15" s="28" t="s">
        <v>37</v>
      </c>
      <c r="Z15" s="28">
        <f t="shared" ca="1" si="12"/>
        <v>4805.5499999999993</v>
      </c>
      <c r="AA15" s="28"/>
      <c r="AB15" s="28"/>
      <c r="AC15" s="32">
        <f t="shared" si="13"/>
        <v>159710</v>
      </c>
      <c r="AD15" s="32">
        <f t="shared" si="14"/>
        <v>0</v>
      </c>
      <c r="AE15" s="28" t="str">
        <f t="shared" si="15"/>
        <v>SETTLED</v>
      </c>
      <c r="AF15" s="28" t="s">
        <v>73</v>
      </c>
      <c r="AG15" s="33">
        <v>1800003247</v>
      </c>
      <c r="AH15" s="34" t="s">
        <v>48</v>
      </c>
      <c r="AL15">
        <f t="shared" si="16"/>
        <v>1</v>
      </c>
      <c r="AM15">
        <f t="shared" si="17"/>
        <v>1</v>
      </c>
      <c r="AN15">
        <f t="shared" si="18"/>
        <v>1</v>
      </c>
      <c r="AO15">
        <f t="shared" si="19"/>
        <v>1</v>
      </c>
      <c r="AP15">
        <f t="shared" si="20"/>
        <v>1</v>
      </c>
      <c r="AQ15">
        <f t="shared" si="21"/>
        <v>1</v>
      </c>
      <c r="AR15">
        <f t="shared" si="22"/>
        <v>1</v>
      </c>
      <c r="AS15">
        <f t="shared" si="23"/>
        <v>1</v>
      </c>
      <c r="AT15">
        <f t="shared" si="24"/>
        <v>1</v>
      </c>
      <c r="AU15">
        <f t="shared" si="25"/>
        <v>1</v>
      </c>
      <c r="AV15">
        <f t="shared" si="26"/>
        <v>1</v>
      </c>
      <c r="AW15">
        <f t="shared" si="27"/>
        <v>1</v>
      </c>
      <c r="AX15">
        <f t="shared" si="28"/>
        <v>1</v>
      </c>
      <c r="AY15">
        <f t="shared" si="29"/>
        <v>1</v>
      </c>
      <c r="AZ15">
        <f t="shared" si="30"/>
        <v>1</v>
      </c>
      <c r="BA15">
        <f t="shared" si="31"/>
        <v>1</v>
      </c>
      <c r="BB15">
        <f t="shared" si="32"/>
        <v>1</v>
      </c>
      <c r="BC15">
        <f t="shared" si="33"/>
        <v>1</v>
      </c>
      <c r="BD15">
        <f t="shared" si="34"/>
        <v>1</v>
      </c>
      <c r="BE15">
        <f t="shared" si="35"/>
        <v>1</v>
      </c>
      <c r="BF15">
        <f t="shared" si="36"/>
        <v>1</v>
      </c>
      <c r="BG15">
        <f t="shared" si="37"/>
        <v>1</v>
      </c>
      <c r="BH15">
        <f t="shared" si="38"/>
        <v>1</v>
      </c>
      <c r="BI15">
        <f t="shared" si="39"/>
        <v>1</v>
      </c>
      <c r="BJ15">
        <f t="shared" si="40"/>
        <v>1</v>
      </c>
      <c r="BK15">
        <f t="shared" si="41"/>
        <v>1</v>
      </c>
      <c r="BL15">
        <f t="shared" si="42"/>
        <v>1</v>
      </c>
      <c r="BM15">
        <f t="shared" si="43"/>
        <v>1</v>
      </c>
      <c r="BN15">
        <f t="shared" si="44"/>
        <v>1</v>
      </c>
      <c r="BO15">
        <f t="shared" si="45"/>
        <v>1</v>
      </c>
      <c r="BP15">
        <f t="shared" si="46"/>
        <v>1</v>
      </c>
      <c r="BQ15">
        <f t="shared" si="47"/>
        <v>1</v>
      </c>
      <c r="BR15">
        <f t="shared" si="48"/>
        <v>1</v>
      </c>
      <c r="BS15">
        <f t="shared" si="49"/>
        <v>1</v>
      </c>
      <c r="BT15">
        <f t="shared" si="50"/>
        <v>1</v>
      </c>
    </row>
    <row r="16" spans="1:72" ht="14.25" customHeight="1" x14ac:dyDescent="0.3">
      <c r="A16" s="35">
        <v>22</v>
      </c>
      <c r="B16" s="36" t="s">
        <v>74</v>
      </c>
      <c r="C16" s="37">
        <v>700</v>
      </c>
      <c r="D16" s="38">
        <v>21977</v>
      </c>
      <c r="E16" s="38" t="s">
        <v>40</v>
      </c>
      <c r="F16" s="38">
        <v>2011</v>
      </c>
      <c r="G16" s="36" t="s">
        <v>67</v>
      </c>
      <c r="H16" s="39">
        <v>15400</v>
      </c>
      <c r="I16" s="39">
        <f t="shared" si="0"/>
        <v>2772</v>
      </c>
      <c r="J16" s="39">
        <f t="shared" si="1"/>
        <v>18172</v>
      </c>
      <c r="K16" s="39">
        <f t="shared" si="2"/>
        <v>363</v>
      </c>
      <c r="L16" s="40">
        <f t="shared" si="3"/>
        <v>15.4</v>
      </c>
      <c r="M16" s="40">
        <f t="shared" si="4"/>
        <v>408.87</v>
      </c>
      <c r="N16" s="41">
        <f t="shared" si="5"/>
        <v>6.93</v>
      </c>
      <c r="O16" s="40">
        <f t="shared" si="6"/>
        <v>401.94</v>
      </c>
      <c r="P16" s="40">
        <f t="shared" si="7"/>
        <v>417</v>
      </c>
      <c r="Q16" s="42">
        <v>0</v>
      </c>
      <c r="R16" s="40">
        <f t="shared" si="8"/>
        <v>0</v>
      </c>
      <c r="S16" s="39">
        <f t="shared" si="9"/>
        <v>18118</v>
      </c>
      <c r="T16" s="40">
        <f t="shared" si="10"/>
        <v>3850</v>
      </c>
      <c r="U16" s="43">
        <v>3850</v>
      </c>
      <c r="V16" s="40" t="s">
        <v>47</v>
      </c>
      <c r="W16" s="40">
        <f t="shared" si="11"/>
        <v>14268</v>
      </c>
      <c r="X16" s="40">
        <v>14267</v>
      </c>
      <c r="Y16" s="40" t="s">
        <v>47</v>
      </c>
      <c r="Z16" s="40">
        <f t="shared" ca="1" si="12"/>
        <v>545.16</v>
      </c>
      <c r="AA16" s="40"/>
      <c r="AB16" s="40"/>
      <c r="AC16" s="15">
        <f t="shared" si="13"/>
        <v>18117</v>
      </c>
      <c r="AD16" s="19">
        <f t="shared" si="14"/>
        <v>1</v>
      </c>
      <c r="AE16" s="20" t="str">
        <f t="shared" si="15"/>
        <v>SETTLED</v>
      </c>
      <c r="AF16" s="20" t="s">
        <v>75</v>
      </c>
      <c r="AG16" s="21">
        <v>1800003157</v>
      </c>
      <c r="AH16" s="22" t="s">
        <v>54</v>
      </c>
      <c r="AL16">
        <f t="shared" si="16"/>
        <v>1</v>
      </c>
      <c r="AM16">
        <f t="shared" si="17"/>
        <v>1</v>
      </c>
      <c r="AN16">
        <f t="shared" si="18"/>
        <v>1</v>
      </c>
      <c r="AO16">
        <f t="shared" si="19"/>
        <v>1</v>
      </c>
      <c r="AP16">
        <f t="shared" si="20"/>
        <v>1</v>
      </c>
      <c r="AQ16">
        <f t="shared" si="21"/>
        <v>1</v>
      </c>
      <c r="AR16">
        <f t="shared" si="22"/>
        <v>1</v>
      </c>
      <c r="AS16">
        <f t="shared" si="23"/>
        <v>1</v>
      </c>
      <c r="AT16">
        <f t="shared" si="24"/>
        <v>1</v>
      </c>
      <c r="AU16">
        <f t="shared" si="25"/>
        <v>1</v>
      </c>
      <c r="AV16">
        <f t="shared" si="26"/>
        <v>1</v>
      </c>
      <c r="AW16">
        <f t="shared" si="27"/>
        <v>1</v>
      </c>
      <c r="AX16">
        <f t="shared" si="28"/>
        <v>1</v>
      </c>
      <c r="AY16">
        <f t="shared" si="29"/>
        <v>1</v>
      </c>
      <c r="AZ16">
        <f t="shared" si="30"/>
        <v>1</v>
      </c>
      <c r="BA16">
        <f t="shared" si="31"/>
        <v>1</v>
      </c>
      <c r="BB16">
        <f t="shared" si="32"/>
        <v>1</v>
      </c>
      <c r="BC16">
        <f t="shared" si="33"/>
        <v>1</v>
      </c>
      <c r="BD16">
        <f t="shared" si="34"/>
        <v>1</v>
      </c>
      <c r="BE16">
        <f t="shared" si="35"/>
        <v>1</v>
      </c>
      <c r="BF16">
        <f t="shared" si="36"/>
        <v>1</v>
      </c>
      <c r="BG16">
        <f t="shared" si="37"/>
        <v>1</v>
      </c>
      <c r="BH16">
        <f t="shared" si="38"/>
        <v>1</v>
      </c>
      <c r="BI16">
        <f t="shared" si="39"/>
        <v>1</v>
      </c>
      <c r="BJ16">
        <f t="shared" si="40"/>
        <v>1</v>
      </c>
      <c r="BK16">
        <f t="shared" si="41"/>
        <v>1</v>
      </c>
      <c r="BL16">
        <f t="shared" si="42"/>
        <v>1</v>
      </c>
      <c r="BM16">
        <f t="shared" si="43"/>
        <v>1</v>
      </c>
      <c r="BN16">
        <f t="shared" si="44"/>
        <v>1</v>
      </c>
      <c r="BO16">
        <f t="shared" si="45"/>
        <v>1</v>
      </c>
      <c r="BP16">
        <f t="shared" si="46"/>
        <v>1</v>
      </c>
      <c r="BQ16">
        <f t="shared" si="47"/>
        <v>1</v>
      </c>
      <c r="BR16">
        <f t="shared" si="48"/>
        <v>1</v>
      </c>
      <c r="BS16">
        <f t="shared" si="49"/>
        <v>1</v>
      </c>
      <c r="BT16">
        <f t="shared" si="50"/>
        <v>1</v>
      </c>
    </row>
    <row r="17" spans="1:72" ht="14.25" customHeight="1" x14ac:dyDescent="0.3">
      <c r="A17" s="23">
        <v>100</v>
      </c>
      <c r="B17" s="24" t="s">
        <v>76</v>
      </c>
      <c r="C17" s="25">
        <v>710</v>
      </c>
      <c r="D17" s="26">
        <v>21978</v>
      </c>
      <c r="E17" s="26" t="s">
        <v>40</v>
      </c>
      <c r="F17" s="26">
        <v>2015</v>
      </c>
      <c r="G17" s="24" t="s">
        <v>67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47</v>
      </c>
      <c r="W17" s="28">
        <f t="shared" si="11"/>
        <v>65782</v>
      </c>
      <c r="X17" s="28">
        <f>+W17</f>
        <v>65782</v>
      </c>
      <c r="Y17" s="28" t="s">
        <v>47</v>
      </c>
      <c r="Z17" s="28">
        <f t="shared" ca="1" si="12"/>
        <v>2513.3999999999996</v>
      </c>
      <c r="AA17" s="28"/>
      <c r="AB17" s="28"/>
      <c r="AC17" s="32">
        <f t="shared" si="13"/>
        <v>83532</v>
      </c>
      <c r="AD17" s="32">
        <f t="shared" si="14"/>
        <v>0</v>
      </c>
      <c r="AE17" s="28" t="str">
        <f t="shared" si="15"/>
        <v>SETTLED</v>
      </c>
      <c r="AF17" s="28" t="s">
        <v>77</v>
      </c>
      <c r="AG17" s="33">
        <v>1800003158</v>
      </c>
      <c r="AH17" s="34" t="s">
        <v>54</v>
      </c>
      <c r="AL17">
        <f t="shared" si="16"/>
        <v>1</v>
      </c>
      <c r="AM17">
        <f t="shared" si="17"/>
        <v>1</v>
      </c>
      <c r="AN17">
        <f t="shared" si="18"/>
        <v>1</v>
      </c>
      <c r="AO17">
        <f t="shared" si="19"/>
        <v>1</v>
      </c>
      <c r="AP17">
        <f t="shared" si="20"/>
        <v>1</v>
      </c>
      <c r="AQ17">
        <f t="shared" si="21"/>
        <v>1</v>
      </c>
      <c r="AR17">
        <f t="shared" si="22"/>
        <v>1</v>
      </c>
      <c r="AS17">
        <f t="shared" si="23"/>
        <v>1</v>
      </c>
      <c r="AT17">
        <f t="shared" si="24"/>
        <v>1</v>
      </c>
      <c r="AU17">
        <f t="shared" si="25"/>
        <v>1</v>
      </c>
      <c r="AV17">
        <f t="shared" si="26"/>
        <v>1</v>
      </c>
      <c r="AW17">
        <f t="shared" si="27"/>
        <v>1</v>
      </c>
      <c r="AX17">
        <f t="shared" si="28"/>
        <v>1</v>
      </c>
      <c r="AY17">
        <f t="shared" si="29"/>
        <v>1</v>
      </c>
      <c r="AZ17">
        <f t="shared" si="30"/>
        <v>1</v>
      </c>
      <c r="BA17">
        <f t="shared" si="31"/>
        <v>1</v>
      </c>
      <c r="BB17">
        <f t="shared" si="32"/>
        <v>1</v>
      </c>
      <c r="BC17">
        <f t="shared" si="33"/>
        <v>1</v>
      </c>
      <c r="BD17">
        <f t="shared" si="34"/>
        <v>1</v>
      </c>
      <c r="BE17">
        <f t="shared" si="35"/>
        <v>1</v>
      </c>
      <c r="BF17">
        <f t="shared" si="36"/>
        <v>1</v>
      </c>
      <c r="BG17">
        <f t="shared" si="37"/>
        <v>1</v>
      </c>
      <c r="BH17">
        <f t="shared" si="38"/>
        <v>1</v>
      </c>
      <c r="BI17">
        <f t="shared" si="39"/>
        <v>1</v>
      </c>
      <c r="BJ17">
        <f t="shared" si="40"/>
        <v>1</v>
      </c>
      <c r="BK17">
        <f t="shared" si="41"/>
        <v>1</v>
      </c>
      <c r="BL17">
        <f t="shared" si="42"/>
        <v>1</v>
      </c>
      <c r="BM17">
        <f t="shared" si="43"/>
        <v>1</v>
      </c>
      <c r="BN17">
        <f t="shared" si="44"/>
        <v>1</v>
      </c>
      <c r="BO17">
        <f t="shared" si="45"/>
        <v>1</v>
      </c>
      <c r="BP17">
        <f t="shared" si="46"/>
        <v>1</v>
      </c>
      <c r="BQ17">
        <f t="shared" si="47"/>
        <v>1</v>
      </c>
      <c r="BR17">
        <f t="shared" si="48"/>
        <v>1</v>
      </c>
      <c r="BS17">
        <f t="shared" si="49"/>
        <v>1</v>
      </c>
      <c r="BT17">
        <f t="shared" si="50"/>
        <v>1</v>
      </c>
    </row>
    <row r="18" spans="1:72" ht="14.25" customHeight="1" x14ac:dyDescent="0.3">
      <c r="A18" s="35">
        <v>1</v>
      </c>
      <c r="B18" s="36" t="s">
        <v>78</v>
      </c>
      <c r="C18" s="37">
        <v>220001</v>
      </c>
      <c r="D18" s="38">
        <v>21978</v>
      </c>
      <c r="E18" s="38" t="s">
        <v>40</v>
      </c>
      <c r="F18" s="38">
        <v>2018</v>
      </c>
      <c r="G18" s="36" t="s">
        <v>41</v>
      </c>
      <c r="H18" s="39">
        <v>220001</v>
      </c>
      <c r="I18" s="39">
        <f t="shared" si="0"/>
        <v>39600</v>
      </c>
      <c r="J18" s="39">
        <f t="shared" si="1"/>
        <v>259601</v>
      </c>
      <c r="K18" s="39">
        <f t="shared" si="2"/>
        <v>5192</v>
      </c>
      <c r="L18" s="40">
        <f t="shared" si="3"/>
        <v>220.001</v>
      </c>
      <c r="M18" s="40">
        <f t="shared" si="4"/>
        <v>5841.0265499999996</v>
      </c>
      <c r="N18" s="41">
        <f t="shared" si="5"/>
        <v>99.000450000000001</v>
      </c>
      <c r="O18" s="40">
        <f t="shared" si="6"/>
        <v>5742.0260999999991</v>
      </c>
      <c r="P18" s="40">
        <f t="shared" si="7"/>
        <v>5962</v>
      </c>
      <c r="Q18" s="42">
        <v>0</v>
      </c>
      <c r="R18" s="40">
        <f t="shared" si="8"/>
        <v>0</v>
      </c>
      <c r="S18" s="39">
        <f t="shared" si="9"/>
        <v>258831</v>
      </c>
      <c r="T18" s="40">
        <f t="shared" si="10"/>
        <v>55000</v>
      </c>
      <c r="U18" s="43">
        <f>+T18</f>
        <v>55000</v>
      </c>
      <c r="V18" s="40" t="s">
        <v>42</v>
      </c>
      <c r="W18" s="40">
        <f t="shared" si="11"/>
        <v>203831</v>
      </c>
      <c r="X18" s="40">
        <v>203831</v>
      </c>
      <c r="Y18" s="40" t="s">
        <v>36</v>
      </c>
      <c r="Z18" s="40">
        <f t="shared" ca="1" si="12"/>
        <v>7788.0353999999988</v>
      </c>
      <c r="AA18" s="40"/>
      <c r="AB18" s="40"/>
      <c r="AC18" s="15">
        <f t="shared" si="13"/>
        <v>258831</v>
      </c>
      <c r="AD18" s="19">
        <f t="shared" si="14"/>
        <v>0</v>
      </c>
      <c r="AE18" s="20" t="str">
        <f t="shared" si="15"/>
        <v>SETTLED</v>
      </c>
      <c r="AF18" s="20" t="s">
        <v>79</v>
      </c>
      <c r="AG18" s="21">
        <v>1800003306</v>
      </c>
      <c r="AH18" s="22" t="s">
        <v>44</v>
      </c>
      <c r="AL18">
        <f t="shared" si="16"/>
        <v>1</v>
      </c>
      <c r="AM18">
        <f t="shared" si="17"/>
        <v>1</v>
      </c>
      <c r="AN18">
        <f t="shared" si="18"/>
        <v>1</v>
      </c>
      <c r="AO18">
        <f t="shared" si="19"/>
        <v>1</v>
      </c>
      <c r="AP18">
        <f t="shared" si="20"/>
        <v>1</v>
      </c>
      <c r="AQ18">
        <f t="shared" si="21"/>
        <v>1</v>
      </c>
      <c r="AR18">
        <f t="shared" si="22"/>
        <v>1</v>
      </c>
      <c r="AS18">
        <f t="shared" si="23"/>
        <v>1</v>
      </c>
      <c r="AT18">
        <f t="shared" si="24"/>
        <v>1</v>
      </c>
      <c r="AU18">
        <f t="shared" si="25"/>
        <v>1</v>
      </c>
      <c r="AV18">
        <f t="shared" si="26"/>
        <v>1</v>
      </c>
      <c r="AW18">
        <f t="shared" si="27"/>
        <v>1</v>
      </c>
      <c r="AX18">
        <f t="shared" si="28"/>
        <v>1</v>
      </c>
      <c r="AY18">
        <f t="shared" si="29"/>
        <v>1</v>
      </c>
      <c r="AZ18">
        <f t="shared" si="30"/>
        <v>1</v>
      </c>
      <c r="BA18">
        <f t="shared" si="31"/>
        <v>1</v>
      </c>
      <c r="BB18">
        <f t="shared" si="32"/>
        <v>1</v>
      </c>
      <c r="BC18">
        <f t="shared" si="33"/>
        <v>1</v>
      </c>
      <c r="BD18">
        <f t="shared" si="34"/>
        <v>1</v>
      </c>
      <c r="BE18">
        <f t="shared" si="35"/>
        <v>1</v>
      </c>
      <c r="BF18">
        <f t="shared" si="36"/>
        <v>1</v>
      </c>
      <c r="BG18">
        <f t="shared" si="37"/>
        <v>1</v>
      </c>
      <c r="BH18">
        <f t="shared" si="38"/>
        <v>1</v>
      </c>
      <c r="BI18">
        <f t="shared" si="39"/>
        <v>1</v>
      </c>
      <c r="BJ18">
        <f t="shared" si="40"/>
        <v>1</v>
      </c>
      <c r="BK18">
        <f t="shared" si="41"/>
        <v>1</v>
      </c>
      <c r="BL18">
        <f t="shared" si="42"/>
        <v>1</v>
      </c>
      <c r="BM18">
        <f t="shared" si="43"/>
        <v>1</v>
      </c>
      <c r="BN18">
        <f t="shared" si="44"/>
        <v>1</v>
      </c>
      <c r="BO18">
        <f t="shared" si="45"/>
        <v>1</v>
      </c>
      <c r="BP18">
        <f t="shared" si="46"/>
        <v>1</v>
      </c>
      <c r="BQ18">
        <f t="shared" si="47"/>
        <v>1</v>
      </c>
      <c r="BR18">
        <f t="shared" si="48"/>
        <v>1</v>
      </c>
      <c r="BS18">
        <f t="shared" si="49"/>
        <v>1</v>
      </c>
      <c r="BT18">
        <f t="shared" si="50"/>
        <v>1</v>
      </c>
    </row>
    <row r="19" spans="1:72" ht="14.25" customHeight="1" x14ac:dyDescent="0.3">
      <c r="A19" s="23">
        <v>1</v>
      </c>
      <c r="B19" s="24" t="s">
        <v>78</v>
      </c>
      <c r="C19" s="25">
        <v>210001</v>
      </c>
      <c r="D19" s="26">
        <v>21978</v>
      </c>
      <c r="E19" s="26" t="s">
        <v>40</v>
      </c>
      <c r="F19" s="26">
        <v>2019</v>
      </c>
      <c r="G19" s="24" t="s">
        <v>41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42</v>
      </c>
      <c r="W19" s="28">
        <f t="shared" si="11"/>
        <v>194566</v>
      </c>
      <c r="X19" s="28">
        <v>194566</v>
      </c>
      <c r="Y19" s="28" t="s">
        <v>36</v>
      </c>
      <c r="Z19" s="28">
        <f t="shared" ca="1" si="12"/>
        <v>7434.0353999999988</v>
      </c>
      <c r="AA19" s="28"/>
      <c r="AB19" s="28"/>
      <c r="AC19" s="32">
        <f t="shared" si="13"/>
        <v>247066</v>
      </c>
      <c r="AD19" s="32">
        <f t="shared" si="14"/>
        <v>0</v>
      </c>
      <c r="AE19" s="28" t="str">
        <f t="shared" si="15"/>
        <v>SETTLED</v>
      </c>
      <c r="AF19" s="28" t="s">
        <v>80</v>
      </c>
      <c r="AG19" s="33">
        <v>1800003307</v>
      </c>
      <c r="AH19" s="34" t="s">
        <v>44</v>
      </c>
      <c r="AL19">
        <f t="shared" si="16"/>
        <v>1</v>
      </c>
      <c r="AM19">
        <f t="shared" si="17"/>
        <v>1</v>
      </c>
      <c r="AN19">
        <f t="shared" si="18"/>
        <v>1</v>
      </c>
      <c r="AO19">
        <f t="shared" si="19"/>
        <v>1</v>
      </c>
      <c r="AP19">
        <f t="shared" si="20"/>
        <v>1</v>
      </c>
      <c r="AQ19">
        <f t="shared" si="21"/>
        <v>1</v>
      </c>
      <c r="AR19">
        <f t="shared" si="22"/>
        <v>1</v>
      </c>
      <c r="AS19">
        <f t="shared" si="23"/>
        <v>1</v>
      </c>
      <c r="AT19">
        <f t="shared" si="24"/>
        <v>1</v>
      </c>
      <c r="AU19">
        <f t="shared" si="25"/>
        <v>1</v>
      </c>
      <c r="AV19">
        <f t="shared" si="26"/>
        <v>1</v>
      </c>
      <c r="AW19">
        <f t="shared" si="27"/>
        <v>1</v>
      </c>
      <c r="AX19">
        <f t="shared" si="28"/>
        <v>1</v>
      </c>
      <c r="AY19">
        <f t="shared" si="29"/>
        <v>1</v>
      </c>
      <c r="AZ19">
        <f t="shared" si="30"/>
        <v>1</v>
      </c>
      <c r="BA19">
        <f t="shared" si="31"/>
        <v>1</v>
      </c>
      <c r="BB19">
        <f t="shared" si="32"/>
        <v>1</v>
      </c>
      <c r="BC19">
        <f t="shared" si="33"/>
        <v>1</v>
      </c>
      <c r="BD19">
        <f t="shared" si="34"/>
        <v>1</v>
      </c>
      <c r="BE19">
        <f t="shared" si="35"/>
        <v>1</v>
      </c>
      <c r="BF19">
        <f t="shared" si="36"/>
        <v>1</v>
      </c>
      <c r="BG19">
        <f t="shared" si="37"/>
        <v>1</v>
      </c>
      <c r="BH19">
        <f t="shared" si="38"/>
        <v>1</v>
      </c>
      <c r="BI19">
        <f t="shared" si="39"/>
        <v>1</v>
      </c>
      <c r="BJ19">
        <f t="shared" si="40"/>
        <v>1</v>
      </c>
      <c r="BK19">
        <f t="shared" si="41"/>
        <v>1</v>
      </c>
      <c r="BL19">
        <f t="shared" si="42"/>
        <v>1</v>
      </c>
      <c r="BM19">
        <f t="shared" si="43"/>
        <v>1</v>
      </c>
      <c r="BN19">
        <f t="shared" si="44"/>
        <v>1</v>
      </c>
      <c r="BO19">
        <f t="shared" si="45"/>
        <v>1</v>
      </c>
      <c r="BP19">
        <f t="shared" si="46"/>
        <v>1</v>
      </c>
      <c r="BQ19">
        <f t="shared" si="47"/>
        <v>1</v>
      </c>
      <c r="BR19">
        <f t="shared" si="48"/>
        <v>1</v>
      </c>
      <c r="BS19">
        <f t="shared" si="49"/>
        <v>1</v>
      </c>
      <c r="BT19">
        <f t="shared" si="50"/>
        <v>1</v>
      </c>
    </row>
    <row r="20" spans="1:72" ht="26.25" customHeight="1" x14ac:dyDescent="0.3">
      <c r="A20" s="35">
        <v>3500</v>
      </c>
      <c r="B20" s="36" t="s">
        <v>81</v>
      </c>
      <c r="C20" s="37">
        <v>333</v>
      </c>
      <c r="D20" s="38">
        <v>21978</v>
      </c>
      <c r="E20" s="38" t="s">
        <v>34</v>
      </c>
      <c r="F20" s="38">
        <v>2020</v>
      </c>
      <c r="G20" s="36" t="s">
        <v>53</v>
      </c>
      <c r="H20" s="39">
        <v>1165500</v>
      </c>
      <c r="I20" s="39">
        <f t="shared" si="0"/>
        <v>209790</v>
      </c>
      <c r="J20" s="39">
        <f t="shared" si="1"/>
        <v>1375290</v>
      </c>
      <c r="K20" s="39">
        <f t="shared" si="2"/>
        <v>27506</v>
      </c>
      <c r="L20" s="40">
        <f t="shared" si="3"/>
        <v>1165.5</v>
      </c>
      <c r="M20" s="40">
        <f t="shared" si="4"/>
        <v>30944.024999999998</v>
      </c>
      <c r="N20" s="41">
        <f t="shared" si="5"/>
        <v>524.47500000000002</v>
      </c>
      <c r="O20" s="40">
        <f t="shared" si="6"/>
        <v>30419.55</v>
      </c>
      <c r="P20" s="40">
        <f t="shared" si="7"/>
        <v>31585</v>
      </c>
      <c r="Q20" s="42">
        <v>0.02</v>
      </c>
      <c r="R20" s="40">
        <f t="shared" si="8"/>
        <v>23310</v>
      </c>
      <c r="S20" s="39">
        <f t="shared" si="9"/>
        <v>1347901</v>
      </c>
      <c r="T20" s="40">
        <f t="shared" si="10"/>
        <v>291375</v>
      </c>
      <c r="U20" s="43">
        <v>291375</v>
      </c>
      <c r="V20" s="40" t="s">
        <v>82</v>
      </c>
      <c r="W20" s="40">
        <f t="shared" si="11"/>
        <v>1056526</v>
      </c>
      <c r="X20" s="40">
        <v>1056525</v>
      </c>
      <c r="Y20" s="40" t="s">
        <v>82</v>
      </c>
      <c r="Z20" s="40">
        <f t="shared" ca="1" si="12"/>
        <v>41258.699999999997</v>
      </c>
      <c r="AA20" s="40"/>
      <c r="AB20" s="40"/>
      <c r="AC20" s="15">
        <f t="shared" si="13"/>
        <v>1347900</v>
      </c>
      <c r="AD20" s="19">
        <f t="shared" si="14"/>
        <v>1</v>
      </c>
      <c r="AE20" s="20" t="str">
        <f t="shared" si="15"/>
        <v>SETTLED</v>
      </c>
      <c r="AF20" s="20" t="s">
        <v>83</v>
      </c>
      <c r="AG20" s="21">
        <v>1800003065</v>
      </c>
      <c r="AH20" s="22" t="s">
        <v>84</v>
      </c>
      <c r="AL20">
        <f t="shared" si="16"/>
        <v>1</v>
      </c>
      <c r="AM20">
        <f t="shared" si="17"/>
        <v>1</v>
      </c>
      <c r="AN20">
        <f t="shared" si="18"/>
        <v>1</v>
      </c>
      <c r="AO20">
        <f t="shared" si="19"/>
        <v>1</v>
      </c>
      <c r="AP20">
        <f t="shared" si="20"/>
        <v>1</v>
      </c>
      <c r="AQ20">
        <f t="shared" si="21"/>
        <v>1</v>
      </c>
      <c r="AR20">
        <f t="shared" si="22"/>
        <v>1</v>
      </c>
      <c r="AS20">
        <f t="shared" si="23"/>
        <v>1</v>
      </c>
      <c r="AT20">
        <f t="shared" si="24"/>
        <v>1</v>
      </c>
      <c r="AU20">
        <f t="shared" si="25"/>
        <v>1</v>
      </c>
      <c r="AV20">
        <f t="shared" si="26"/>
        <v>1</v>
      </c>
      <c r="AW20">
        <f t="shared" si="27"/>
        <v>1</v>
      </c>
      <c r="AX20">
        <f t="shared" si="28"/>
        <v>1</v>
      </c>
      <c r="AY20">
        <f t="shared" si="29"/>
        <v>1</v>
      </c>
      <c r="AZ20">
        <f t="shared" si="30"/>
        <v>1</v>
      </c>
      <c r="BA20">
        <f t="shared" si="31"/>
        <v>1</v>
      </c>
      <c r="BB20">
        <f t="shared" si="32"/>
        <v>1</v>
      </c>
      <c r="BC20">
        <f t="shared" si="33"/>
        <v>1</v>
      </c>
      <c r="BD20">
        <f t="shared" si="34"/>
        <v>1</v>
      </c>
      <c r="BE20">
        <f t="shared" si="35"/>
        <v>1</v>
      </c>
      <c r="BF20">
        <f t="shared" si="36"/>
        <v>1</v>
      </c>
      <c r="BG20">
        <f t="shared" si="37"/>
        <v>1</v>
      </c>
      <c r="BH20">
        <f t="shared" si="38"/>
        <v>1</v>
      </c>
      <c r="BI20">
        <f t="shared" si="39"/>
        <v>1</v>
      </c>
      <c r="BJ20">
        <f t="shared" si="40"/>
        <v>1</v>
      </c>
      <c r="BK20">
        <f t="shared" si="41"/>
        <v>1</v>
      </c>
      <c r="BL20">
        <f t="shared" si="42"/>
        <v>1</v>
      </c>
      <c r="BM20">
        <f t="shared" si="43"/>
        <v>1</v>
      </c>
      <c r="BN20">
        <f t="shared" si="44"/>
        <v>1</v>
      </c>
      <c r="BO20">
        <f t="shared" si="45"/>
        <v>1</v>
      </c>
      <c r="BP20">
        <f t="shared" si="46"/>
        <v>1</v>
      </c>
      <c r="BQ20">
        <f t="shared" si="47"/>
        <v>1</v>
      </c>
      <c r="BR20">
        <f t="shared" si="48"/>
        <v>1</v>
      </c>
      <c r="BS20">
        <f t="shared" si="49"/>
        <v>1</v>
      </c>
      <c r="BT20">
        <f t="shared" si="50"/>
        <v>1</v>
      </c>
    </row>
    <row r="21" spans="1:72" ht="39" customHeight="1" x14ac:dyDescent="0.3">
      <c r="A21" s="23">
        <v>3</v>
      </c>
      <c r="B21" s="24" t="s">
        <v>60</v>
      </c>
      <c r="C21" s="25">
        <v>110200</v>
      </c>
      <c r="D21" s="26">
        <v>21978</v>
      </c>
      <c r="E21" s="26" t="s">
        <v>40</v>
      </c>
      <c r="F21" s="26">
        <v>2022</v>
      </c>
      <c r="G21" s="24" t="s">
        <v>85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54</v>
      </c>
      <c r="W21" s="28">
        <f t="shared" si="11"/>
        <v>306301</v>
      </c>
      <c r="X21" s="28">
        <v>306301</v>
      </c>
      <c r="Y21" s="28" t="s">
        <v>86</v>
      </c>
      <c r="Z21" s="28">
        <f t="shared" ca="1" si="12"/>
        <v>11703.24</v>
      </c>
      <c r="AA21" s="28"/>
      <c r="AB21" s="28"/>
      <c r="AC21" s="32">
        <f t="shared" si="13"/>
        <v>388951</v>
      </c>
      <c r="AD21" s="32">
        <f t="shared" si="14"/>
        <v>0</v>
      </c>
      <c r="AE21" s="28" t="str">
        <f t="shared" si="15"/>
        <v>SETTLED</v>
      </c>
      <c r="AF21" s="28" t="s">
        <v>87</v>
      </c>
      <c r="AG21" s="33">
        <v>1800003269</v>
      </c>
      <c r="AH21" s="34" t="s">
        <v>36</v>
      </c>
      <c r="AL21">
        <f t="shared" si="16"/>
        <v>1</v>
      </c>
      <c r="AM21">
        <f t="shared" si="17"/>
        <v>1</v>
      </c>
      <c r="AN21">
        <f t="shared" si="18"/>
        <v>1</v>
      </c>
      <c r="AO21">
        <f t="shared" si="19"/>
        <v>1</v>
      </c>
      <c r="AP21">
        <f t="shared" si="20"/>
        <v>1</v>
      </c>
      <c r="AQ21">
        <f t="shared" si="21"/>
        <v>1</v>
      </c>
      <c r="AR21">
        <f t="shared" si="22"/>
        <v>1</v>
      </c>
      <c r="AS21">
        <f t="shared" si="23"/>
        <v>1</v>
      </c>
      <c r="AT21">
        <f t="shared" si="24"/>
        <v>1</v>
      </c>
      <c r="AU21">
        <f t="shared" si="25"/>
        <v>1</v>
      </c>
      <c r="AV21">
        <f t="shared" si="26"/>
        <v>1</v>
      </c>
      <c r="AW21">
        <f t="shared" si="27"/>
        <v>1</v>
      </c>
      <c r="AX21">
        <f t="shared" si="28"/>
        <v>1</v>
      </c>
      <c r="AY21">
        <f t="shared" si="29"/>
        <v>1</v>
      </c>
      <c r="AZ21">
        <f t="shared" si="30"/>
        <v>1</v>
      </c>
      <c r="BA21">
        <f t="shared" si="31"/>
        <v>1</v>
      </c>
      <c r="BB21">
        <f t="shared" si="32"/>
        <v>1</v>
      </c>
      <c r="BC21">
        <f t="shared" si="33"/>
        <v>1</v>
      </c>
      <c r="BD21">
        <f t="shared" si="34"/>
        <v>1</v>
      </c>
      <c r="BE21">
        <f t="shared" si="35"/>
        <v>1</v>
      </c>
      <c r="BF21">
        <f t="shared" si="36"/>
        <v>1</v>
      </c>
      <c r="BG21">
        <f t="shared" si="37"/>
        <v>1</v>
      </c>
      <c r="BH21">
        <f t="shared" si="38"/>
        <v>1</v>
      </c>
      <c r="BI21">
        <f t="shared" si="39"/>
        <v>1</v>
      </c>
      <c r="BJ21">
        <f t="shared" si="40"/>
        <v>1</v>
      </c>
      <c r="BK21">
        <f t="shared" si="41"/>
        <v>1</v>
      </c>
      <c r="BL21">
        <f t="shared" si="42"/>
        <v>1</v>
      </c>
      <c r="BM21">
        <f t="shared" si="43"/>
        <v>1</v>
      </c>
      <c r="BN21">
        <f t="shared" si="44"/>
        <v>1</v>
      </c>
      <c r="BO21">
        <f t="shared" si="45"/>
        <v>1</v>
      </c>
      <c r="BP21">
        <f t="shared" si="46"/>
        <v>1</v>
      </c>
      <c r="BQ21">
        <f t="shared" si="47"/>
        <v>1</v>
      </c>
      <c r="BR21">
        <f t="shared" si="48"/>
        <v>1</v>
      </c>
      <c r="BS21">
        <f t="shared" si="49"/>
        <v>1</v>
      </c>
      <c r="BT21">
        <f t="shared" si="50"/>
        <v>1</v>
      </c>
    </row>
    <row r="22" spans="1:72" ht="14.25" customHeight="1" x14ac:dyDescent="0.3">
      <c r="A22" s="35">
        <v>3</v>
      </c>
      <c r="B22" s="36" t="s">
        <v>60</v>
      </c>
      <c r="C22" s="37">
        <v>83743</v>
      </c>
      <c r="D22" s="38">
        <v>21978</v>
      </c>
      <c r="E22" s="38" t="s">
        <v>40</v>
      </c>
      <c r="F22" s="38">
        <v>2023</v>
      </c>
      <c r="G22" s="36" t="s">
        <v>41</v>
      </c>
      <c r="H22" s="39">
        <v>251229</v>
      </c>
      <c r="I22" s="39">
        <f t="shared" si="0"/>
        <v>45221</v>
      </c>
      <c r="J22" s="39">
        <f t="shared" si="1"/>
        <v>296450</v>
      </c>
      <c r="K22" s="39">
        <f t="shared" si="2"/>
        <v>5929</v>
      </c>
      <c r="L22" s="40">
        <f t="shared" si="3"/>
        <v>251.22900000000001</v>
      </c>
      <c r="M22" s="40">
        <f t="shared" si="4"/>
        <v>6670.1299499999996</v>
      </c>
      <c r="N22" s="41">
        <f t="shared" si="5"/>
        <v>113.05305</v>
      </c>
      <c r="O22" s="40">
        <f t="shared" si="6"/>
        <v>6557.0768999999991</v>
      </c>
      <c r="P22" s="40">
        <f t="shared" si="7"/>
        <v>6808</v>
      </c>
      <c r="Q22" s="42">
        <v>0</v>
      </c>
      <c r="R22" s="40">
        <f t="shared" si="8"/>
        <v>0</v>
      </c>
      <c r="S22" s="39">
        <f t="shared" si="9"/>
        <v>295571</v>
      </c>
      <c r="T22" s="40">
        <f t="shared" si="10"/>
        <v>62807</v>
      </c>
      <c r="U22" s="43">
        <f>+T22</f>
        <v>62807</v>
      </c>
      <c r="V22" s="40" t="s">
        <v>42</v>
      </c>
      <c r="W22" s="40">
        <f t="shared" si="11"/>
        <v>232764</v>
      </c>
      <c r="X22" s="40">
        <v>232764</v>
      </c>
      <c r="Y22" s="40" t="s">
        <v>36</v>
      </c>
      <c r="Z22" s="40">
        <f t="shared" ca="1" si="12"/>
        <v>8893.5066000000006</v>
      </c>
      <c r="AA22" s="40"/>
      <c r="AB22" s="40"/>
      <c r="AC22" s="15">
        <f t="shared" si="13"/>
        <v>295571</v>
      </c>
      <c r="AD22" s="19">
        <f t="shared" si="14"/>
        <v>0</v>
      </c>
      <c r="AE22" s="20" t="str">
        <f t="shared" si="15"/>
        <v>SETTLED</v>
      </c>
      <c r="AF22" s="20" t="s">
        <v>88</v>
      </c>
      <c r="AG22" s="21">
        <v>1800003308</v>
      </c>
      <c r="AH22" s="22" t="s">
        <v>44</v>
      </c>
      <c r="AL22">
        <f t="shared" si="16"/>
        <v>1</v>
      </c>
      <c r="AM22">
        <f t="shared" si="17"/>
        <v>1</v>
      </c>
      <c r="AN22">
        <f t="shared" si="18"/>
        <v>1</v>
      </c>
      <c r="AO22">
        <f t="shared" si="19"/>
        <v>1</v>
      </c>
      <c r="AP22">
        <f t="shared" si="20"/>
        <v>1</v>
      </c>
      <c r="AQ22">
        <f t="shared" si="21"/>
        <v>1</v>
      </c>
      <c r="AR22">
        <f t="shared" si="22"/>
        <v>1</v>
      </c>
      <c r="AS22">
        <f t="shared" si="23"/>
        <v>1</v>
      </c>
      <c r="AT22">
        <f t="shared" si="24"/>
        <v>1</v>
      </c>
      <c r="AU22">
        <f t="shared" si="25"/>
        <v>1</v>
      </c>
      <c r="AV22">
        <f t="shared" si="26"/>
        <v>1</v>
      </c>
      <c r="AW22">
        <f t="shared" si="27"/>
        <v>1</v>
      </c>
      <c r="AX22">
        <f t="shared" si="28"/>
        <v>1</v>
      </c>
      <c r="AY22">
        <f t="shared" si="29"/>
        <v>1</v>
      </c>
      <c r="AZ22">
        <f t="shared" si="30"/>
        <v>1</v>
      </c>
      <c r="BA22">
        <f t="shared" si="31"/>
        <v>1</v>
      </c>
      <c r="BB22">
        <f t="shared" si="32"/>
        <v>1</v>
      </c>
      <c r="BC22">
        <f t="shared" si="33"/>
        <v>1</v>
      </c>
      <c r="BD22">
        <f t="shared" si="34"/>
        <v>1</v>
      </c>
      <c r="BE22">
        <f t="shared" si="35"/>
        <v>1</v>
      </c>
      <c r="BF22">
        <f t="shared" si="36"/>
        <v>1</v>
      </c>
      <c r="BG22">
        <f t="shared" si="37"/>
        <v>1</v>
      </c>
      <c r="BH22">
        <f t="shared" si="38"/>
        <v>1</v>
      </c>
      <c r="BI22">
        <f t="shared" si="39"/>
        <v>1</v>
      </c>
      <c r="BJ22">
        <f t="shared" si="40"/>
        <v>1</v>
      </c>
      <c r="BK22">
        <f t="shared" si="41"/>
        <v>1</v>
      </c>
      <c r="BL22">
        <f t="shared" si="42"/>
        <v>1</v>
      </c>
      <c r="BM22">
        <f t="shared" si="43"/>
        <v>1</v>
      </c>
      <c r="BN22">
        <f t="shared" si="44"/>
        <v>1</v>
      </c>
      <c r="BO22">
        <f t="shared" si="45"/>
        <v>1</v>
      </c>
      <c r="BP22">
        <f t="shared" si="46"/>
        <v>1</v>
      </c>
      <c r="BQ22">
        <f t="shared" si="47"/>
        <v>1</v>
      </c>
      <c r="BR22">
        <f t="shared" si="48"/>
        <v>1</v>
      </c>
      <c r="BS22">
        <f t="shared" si="49"/>
        <v>1</v>
      </c>
      <c r="BT22">
        <f t="shared" si="50"/>
        <v>1</v>
      </c>
    </row>
    <row r="23" spans="1:72" ht="14.25" customHeight="1" x14ac:dyDescent="0.3">
      <c r="A23" s="23">
        <v>90</v>
      </c>
      <c r="B23" s="24" t="s">
        <v>76</v>
      </c>
      <c r="C23" s="25">
        <v>700</v>
      </c>
      <c r="D23" s="26">
        <v>21978</v>
      </c>
      <c r="E23" s="26" t="s">
        <v>40</v>
      </c>
      <c r="F23" s="26">
        <v>2025</v>
      </c>
      <c r="G23" s="24" t="s">
        <v>67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47</v>
      </c>
      <c r="W23" s="28">
        <f t="shared" si="11"/>
        <v>58370</v>
      </c>
      <c r="X23" s="28">
        <v>58418</v>
      </c>
      <c r="Y23" s="28" t="s">
        <v>47</v>
      </c>
      <c r="Z23" s="28">
        <f t="shared" ca="1" si="12"/>
        <v>2230.1999999999998</v>
      </c>
      <c r="AA23" s="28"/>
      <c r="AB23" s="28"/>
      <c r="AC23" s="32">
        <f t="shared" si="13"/>
        <v>74168</v>
      </c>
      <c r="AD23" s="32">
        <f t="shared" si="14"/>
        <v>-48</v>
      </c>
      <c r="AE23" s="28" t="str">
        <f t="shared" si="15"/>
        <v>SETTLED</v>
      </c>
      <c r="AF23" s="28" t="s">
        <v>89</v>
      </c>
      <c r="AG23" s="33">
        <v>1800003160</v>
      </c>
      <c r="AH23" s="34" t="s">
        <v>54</v>
      </c>
      <c r="AL23">
        <f t="shared" si="16"/>
        <v>1</v>
      </c>
      <c r="AM23">
        <f t="shared" si="17"/>
        <v>1</v>
      </c>
      <c r="AN23">
        <f t="shared" si="18"/>
        <v>1</v>
      </c>
      <c r="AO23">
        <f t="shared" si="19"/>
        <v>1</v>
      </c>
      <c r="AP23">
        <f t="shared" si="20"/>
        <v>1</v>
      </c>
      <c r="AQ23">
        <f t="shared" si="21"/>
        <v>1</v>
      </c>
      <c r="AR23">
        <f t="shared" si="22"/>
        <v>1</v>
      </c>
      <c r="AS23">
        <f t="shared" si="23"/>
        <v>1</v>
      </c>
      <c r="AT23">
        <f t="shared" si="24"/>
        <v>1</v>
      </c>
      <c r="AU23">
        <f t="shared" si="25"/>
        <v>1</v>
      </c>
      <c r="AV23">
        <f t="shared" si="26"/>
        <v>1</v>
      </c>
      <c r="AW23">
        <f t="shared" si="27"/>
        <v>1</v>
      </c>
      <c r="AX23">
        <f t="shared" si="28"/>
        <v>1</v>
      </c>
      <c r="AY23">
        <f t="shared" si="29"/>
        <v>1</v>
      </c>
      <c r="AZ23">
        <f t="shared" si="30"/>
        <v>1</v>
      </c>
      <c r="BA23">
        <f t="shared" si="31"/>
        <v>1</v>
      </c>
      <c r="BB23">
        <f t="shared" si="32"/>
        <v>1</v>
      </c>
      <c r="BC23">
        <f t="shared" si="33"/>
        <v>1</v>
      </c>
      <c r="BD23">
        <f t="shared" si="34"/>
        <v>1</v>
      </c>
      <c r="BE23">
        <f t="shared" si="35"/>
        <v>1</v>
      </c>
      <c r="BF23">
        <f t="shared" si="36"/>
        <v>1</v>
      </c>
      <c r="BG23">
        <f t="shared" si="37"/>
        <v>1</v>
      </c>
      <c r="BH23">
        <f t="shared" si="38"/>
        <v>1</v>
      </c>
      <c r="BI23">
        <f t="shared" si="39"/>
        <v>1</v>
      </c>
      <c r="BJ23">
        <f t="shared" si="40"/>
        <v>1</v>
      </c>
      <c r="BK23">
        <f t="shared" si="41"/>
        <v>1</v>
      </c>
      <c r="BL23">
        <f t="shared" si="42"/>
        <v>1</v>
      </c>
      <c r="BM23">
        <f t="shared" si="43"/>
        <v>1</v>
      </c>
      <c r="BN23">
        <f t="shared" si="44"/>
        <v>1</v>
      </c>
      <c r="BO23">
        <f t="shared" si="45"/>
        <v>1</v>
      </c>
      <c r="BP23">
        <f t="shared" si="46"/>
        <v>1</v>
      </c>
      <c r="BQ23">
        <f t="shared" si="47"/>
        <v>1</v>
      </c>
      <c r="BR23">
        <f t="shared" si="48"/>
        <v>1</v>
      </c>
      <c r="BS23">
        <f t="shared" si="49"/>
        <v>1</v>
      </c>
      <c r="BT23">
        <f t="shared" si="50"/>
        <v>1</v>
      </c>
    </row>
    <row r="24" spans="1:72" ht="14.25" customHeight="1" x14ac:dyDescent="0.3">
      <c r="A24" s="35">
        <v>1</v>
      </c>
      <c r="B24" s="36" t="s">
        <v>60</v>
      </c>
      <c r="C24" s="37">
        <v>50003</v>
      </c>
      <c r="D24" s="38">
        <v>21978</v>
      </c>
      <c r="E24" s="38" t="s">
        <v>40</v>
      </c>
      <c r="F24" s="38">
        <v>2027</v>
      </c>
      <c r="G24" s="36" t="s">
        <v>41</v>
      </c>
      <c r="H24" s="39">
        <v>50003</v>
      </c>
      <c r="I24" s="39">
        <f t="shared" si="0"/>
        <v>9001</v>
      </c>
      <c r="J24" s="39">
        <f t="shared" si="1"/>
        <v>59004</v>
      </c>
      <c r="K24" s="39">
        <f t="shared" si="2"/>
        <v>1180</v>
      </c>
      <c r="L24" s="40">
        <f t="shared" si="3"/>
        <v>50.003</v>
      </c>
      <c r="M24" s="40">
        <f t="shared" si="4"/>
        <v>1327.5796499999999</v>
      </c>
      <c r="N24" s="41">
        <f t="shared" si="5"/>
        <v>22.501349999999999</v>
      </c>
      <c r="O24" s="40">
        <f t="shared" si="6"/>
        <v>1305.0782999999999</v>
      </c>
      <c r="P24" s="40">
        <f t="shared" si="7"/>
        <v>1355</v>
      </c>
      <c r="Q24" s="42">
        <v>0</v>
      </c>
      <c r="R24" s="40">
        <f t="shared" si="8"/>
        <v>0</v>
      </c>
      <c r="S24" s="39">
        <f t="shared" si="9"/>
        <v>58829</v>
      </c>
      <c r="T24" s="40">
        <f t="shared" si="10"/>
        <v>12501</v>
      </c>
      <c r="U24" s="43">
        <f>+T24</f>
        <v>12501</v>
      </c>
      <c r="V24" s="40" t="s">
        <v>42</v>
      </c>
      <c r="W24" s="40">
        <f t="shared" si="11"/>
        <v>46328</v>
      </c>
      <c r="X24" s="40">
        <v>46328</v>
      </c>
      <c r="Y24" s="40" t="s">
        <v>36</v>
      </c>
      <c r="Z24" s="40">
        <f t="shared" ca="1" si="12"/>
        <v>1770.1061999999999</v>
      </c>
      <c r="AA24" s="40"/>
      <c r="AB24" s="40"/>
      <c r="AC24" s="15">
        <f t="shared" si="13"/>
        <v>58829</v>
      </c>
      <c r="AD24" s="19">
        <f t="shared" si="14"/>
        <v>0</v>
      </c>
      <c r="AE24" s="20" t="str">
        <f t="shared" si="15"/>
        <v>SETTLED</v>
      </c>
      <c r="AF24" s="20" t="s">
        <v>90</v>
      </c>
      <c r="AG24" s="21">
        <v>1800003309</v>
      </c>
      <c r="AH24" s="22" t="s">
        <v>44</v>
      </c>
      <c r="AL24">
        <f t="shared" si="16"/>
        <v>1</v>
      </c>
      <c r="AM24">
        <f t="shared" si="17"/>
        <v>1</v>
      </c>
      <c r="AN24">
        <f t="shared" si="18"/>
        <v>1</v>
      </c>
      <c r="AO24">
        <f t="shared" si="19"/>
        <v>1</v>
      </c>
      <c r="AP24">
        <f t="shared" si="20"/>
        <v>1</v>
      </c>
      <c r="AQ24">
        <f t="shared" si="21"/>
        <v>1</v>
      </c>
      <c r="AR24">
        <f t="shared" si="22"/>
        <v>1</v>
      </c>
      <c r="AS24">
        <f t="shared" si="23"/>
        <v>1</v>
      </c>
      <c r="AT24">
        <f t="shared" si="24"/>
        <v>1</v>
      </c>
      <c r="AU24">
        <f t="shared" si="25"/>
        <v>1</v>
      </c>
      <c r="AV24">
        <f t="shared" si="26"/>
        <v>1</v>
      </c>
      <c r="AW24">
        <f t="shared" si="27"/>
        <v>1</v>
      </c>
      <c r="AX24">
        <f t="shared" si="28"/>
        <v>1</v>
      </c>
      <c r="AY24">
        <f t="shared" si="29"/>
        <v>1</v>
      </c>
      <c r="AZ24">
        <f t="shared" si="30"/>
        <v>1</v>
      </c>
      <c r="BA24">
        <f t="shared" si="31"/>
        <v>1</v>
      </c>
      <c r="BB24">
        <f t="shared" si="32"/>
        <v>1</v>
      </c>
      <c r="BC24">
        <f t="shared" si="33"/>
        <v>1</v>
      </c>
      <c r="BD24">
        <f t="shared" si="34"/>
        <v>1</v>
      </c>
      <c r="BE24">
        <f t="shared" si="35"/>
        <v>1</v>
      </c>
      <c r="BF24">
        <f t="shared" si="36"/>
        <v>1</v>
      </c>
      <c r="BG24">
        <f t="shared" si="37"/>
        <v>1</v>
      </c>
      <c r="BH24">
        <f t="shared" si="38"/>
        <v>1</v>
      </c>
      <c r="BI24">
        <f t="shared" si="39"/>
        <v>1</v>
      </c>
      <c r="BJ24">
        <f t="shared" si="40"/>
        <v>1</v>
      </c>
      <c r="BK24">
        <f t="shared" si="41"/>
        <v>1</v>
      </c>
      <c r="BL24">
        <f t="shared" si="42"/>
        <v>1</v>
      </c>
      <c r="BM24">
        <f t="shared" si="43"/>
        <v>1</v>
      </c>
      <c r="BN24">
        <f t="shared" si="44"/>
        <v>1</v>
      </c>
      <c r="BO24">
        <f t="shared" si="45"/>
        <v>1</v>
      </c>
      <c r="BP24">
        <f t="shared" si="46"/>
        <v>1</v>
      </c>
      <c r="BQ24">
        <f t="shared" si="47"/>
        <v>1</v>
      </c>
      <c r="BR24">
        <f t="shared" si="48"/>
        <v>1</v>
      </c>
      <c r="BS24">
        <f t="shared" si="49"/>
        <v>1</v>
      </c>
      <c r="BT24">
        <f t="shared" si="50"/>
        <v>1</v>
      </c>
    </row>
    <row r="25" spans="1:72" ht="14.25" customHeight="1" x14ac:dyDescent="0.3">
      <c r="A25" s="23">
        <v>1000</v>
      </c>
      <c r="B25" s="24" t="s">
        <v>91</v>
      </c>
      <c r="C25" s="25">
        <v>517</v>
      </c>
      <c r="D25" s="26">
        <v>21978</v>
      </c>
      <c r="E25" s="26" t="s">
        <v>40</v>
      </c>
      <c r="F25" s="26">
        <v>2033</v>
      </c>
      <c r="G25" s="24" t="s">
        <v>92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54</v>
      </c>
      <c r="W25" s="28">
        <f t="shared" si="11"/>
        <v>479001</v>
      </c>
      <c r="X25" s="28">
        <v>479001</v>
      </c>
      <c r="Y25" s="28" t="s">
        <v>86</v>
      </c>
      <c r="Z25" s="28">
        <f t="shared" ca="1" si="12"/>
        <v>18301.8</v>
      </c>
      <c r="AA25" s="28"/>
      <c r="AB25" s="28"/>
      <c r="AC25" s="32">
        <f t="shared" si="13"/>
        <v>608251</v>
      </c>
      <c r="AD25" s="32">
        <f t="shared" si="14"/>
        <v>0</v>
      </c>
      <c r="AE25" s="28" t="str">
        <f t="shared" si="15"/>
        <v>SETTLED</v>
      </c>
      <c r="AF25" s="28" t="s">
        <v>93</v>
      </c>
      <c r="AG25" s="33">
        <v>1800003317</v>
      </c>
      <c r="AH25" s="34" t="s">
        <v>44</v>
      </c>
      <c r="AL25">
        <f t="shared" si="16"/>
        <v>1</v>
      </c>
      <c r="AM25">
        <f t="shared" si="17"/>
        <v>1</v>
      </c>
      <c r="AN25">
        <f t="shared" si="18"/>
        <v>1</v>
      </c>
      <c r="AO25">
        <f t="shared" si="19"/>
        <v>1</v>
      </c>
      <c r="AP25">
        <f t="shared" si="20"/>
        <v>1</v>
      </c>
      <c r="AQ25">
        <f t="shared" si="21"/>
        <v>1</v>
      </c>
      <c r="AR25">
        <f t="shared" si="22"/>
        <v>1</v>
      </c>
      <c r="AS25">
        <f t="shared" si="23"/>
        <v>1</v>
      </c>
      <c r="AT25">
        <f t="shared" si="24"/>
        <v>1</v>
      </c>
      <c r="AU25">
        <f t="shared" si="25"/>
        <v>1</v>
      </c>
      <c r="AV25">
        <f t="shared" si="26"/>
        <v>1</v>
      </c>
      <c r="AW25">
        <f t="shared" si="27"/>
        <v>1</v>
      </c>
      <c r="AX25">
        <f t="shared" si="28"/>
        <v>1</v>
      </c>
      <c r="AY25">
        <f t="shared" si="29"/>
        <v>1</v>
      </c>
      <c r="AZ25">
        <f t="shared" si="30"/>
        <v>1</v>
      </c>
      <c r="BA25">
        <f t="shared" si="31"/>
        <v>1</v>
      </c>
      <c r="BB25">
        <f t="shared" si="32"/>
        <v>1</v>
      </c>
      <c r="BC25">
        <f t="shared" si="33"/>
        <v>1</v>
      </c>
      <c r="BD25">
        <f t="shared" si="34"/>
        <v>1</v>
      </c>
      <c r="BE25">
        <f t="shared" si="35"/>
        <v>1</v>
      </c>
      <c r="BF25">
        <f t="shared" si="36"/>
        <v>1</v>
      </c>
      <c r="BG25">
        <f t="shared" si="37"/>
        <v>1</v>
      </c>
      <c r="BH25">
        <f t="shared" si="38"/>
        <v>1</v>
      </c>
      <c r="BI25">
        <f t="shared" si="39"/>
        <v>1</v>
      </c>
      <c r="BJ25">
        <f t="shared" si="40"/>
        <v>1</v>
      </c>
      <c r="BK25">
        <f t="shared" si="41"/>
        <v>1</v>
      </c>
      <c r="BL25">
        <f t="shared" si="42"/>
        <v>1</v>
      </c>
      <c r="BM25">
        <f t="shared" si="43"/>
        <v>1</v>
      </c>
      <c r="BN25">
        <f t="shared" si="44"/>
        <v>1</v>
      </c>
      <c r="BO25">
        <f t="shared" si="45"/>
        <v>1</v>
      </c>
      <c r="BP25">
        <f t="shared" si="46"/>
        <v>1</v>
      </c>
      <c r="BQ25">
        <f t="shared" si="47"/>
        <v>1</v>
      </c>
      <c r="BR25">
        <f t="shared" si="48"/>
        <v>1</v>
      </c>
      <c r="BS25">
        <f t="shared" si="49"/>
        <v>1</v>
      </c>
      <c r="BT25">
        <f t="shared" si="50"/>
        <v>1</v>
      </c>
    </row>
    <row r="26" spans="1:72" ht="14.25" customHeight="1" x14ac:dyDescent="0.3">
      <c r="A26" s="35">
        <v>2</v>
      </c>
      <c r="B26" s="36" t="s">
        <v>94</v>
      </c>
      <c r="C26" s="37">
        <v>14001</v>
      </c>
      <c r="D26" s="38">
        <v>21978</v>
      </c>
      <c r="E26" s="38" t="s">
        <v>40</v>
      </c>
      <c r="F26" s="38">
        <v>2035</v>
      </c>
      <c r="G26" s="36" t="s">
        <v>41</v>
      </c>
      <c r="H26" s="39">
        <v>28002</v>
      </c>
      <c r="I26" s="39">
        <f t="shared" si="0"/>
        <v>5040</v>
      </c>
      <c r="J26" s="39">
        <f t="shared" si="1"/>
        <v>33042</v>
      </c>
      <c r="K26" s="39">
        <f t="shared" si="2"/>
        <v>661</v>
      </c>
      <c r="L26" s="40">
        <f t="shared" si="3"/>
        <v>28.001999999999999</v>
      </c>
      <c r="M26" s="40">
        <f t="shared" si="4"/>
        <v>743.45309999999995</v>
      </c>
      <c r="N26" s="41">
        <f t="shared" si="5"/>
        <v>12.600899999999999</v>
      </c>
      <c r="O26" s="40">
        <f t="shared" si="6"/>
        <v>730.85219999999993</v>
      </c>
      <c r="P26" s="40">
        <f t="shared" si="7"/>
        <v>759</v>
      </c>
      <c r="Q26" s="42">
        <v>0</v>
      </c>
      <c r="R26" s="40">
        <f t="shared" si="8"/>
        <v>0</v>
      </c>
      <c r="S26" s="39">
        <f t="shared" si="9"/>
        <v>32944</v>
      </c>
      <c r="T26" s="40">
        <f t="shared" si="10"/>
        <v>7001</v>
      </c>
      <c r="U26" s="43">
        <f>+T26</f>
        <v>7001</v>
      </c>
      <c r="V26" s="40" t="s">
        <v>42</v>
      </c>
      <c r="W26" s="40">
        <f t="shared" si="11"/>
        <v>25944</v>
      </c>
      <c r="X26" s="40">
        <v>25943</v>
      </c>
      <c r="Y26" s="40" t="s">
        <v>36</v>
      </c>
      <c r="Z26" s="40">
        <f t="shared" ca="1" si="12"/>
        <v>991.27079999999989</v>
      </c>
      <c r="AA26" s="40"/>
      <c r="AB26" s="40"/>
      <c r="AC26" s="15">
        <f t="shared" si="13"/>
        <v>32944</v>
      </c>
      <c r="AD26" s="19">
        <f t="shared" si="14"/>
        <v>0</v>
      </c>
      <c r="AE26" s="20" t="str">
        <f t="shared" si="15"/>
        <v>SETTLED</v>
      </c>
      <c r="AF26" s="20" t="s">
        <v>95</v>
      </c>
      <c r="AG26" s="21">
        <v>1800003310</v>
      </c>
      <c r="AH26" s="22" t="s">
        <v>44</v>
      </c>
      <c r="AL26">
        <f t="shared" si="16"/>
        <v>1</v>
      </c>
      <c r="AM26">
        <f t="shared" si="17"/>
        <v>1</v>
      </c>
      <c r="AN26">
        <f t="shared" si="18"/>
        <v>1</v>
      </c>
      <c r="AO26">
        <f t="shared" si="19"/>
        <v>1</v>
      </c>
      <c r="AP26">
        <f t="shared" si="20"/>
        <v>1</v>
      </c>
      <c r="AQ26">
        <f t="shared" si="21"/>
        <v>1</v>
      </c>
      <c r="AR26">
        <f t="shared" si="22"/>
        <v>1</v>
      </c>
      <c r="AS26">
        <f t="shared" si="23"/>
        <v>1</v>
      </c>
      <c r="AT26">
        <f t="shared" si="24"/>
        <v>1</v>
      </c>
      <c r="AU26">
        <f t="shared" si="25"/>
        <v>1</v>
      </c>
      <c r="AV26">
        <f t="shared" si="26"/>
        <v>1</v>
      </c>
      <c r="AW26">
        <f t="shared" si="27"/>
        <v>1</v>
      </c>
      <c r="AX26">
        <f t="shared" si="28"/>
        <v>1</v>
      </c>
      <c r="AY26">
        <f t="shared" si="29"/>
        <v>1</v>
      </c>
      <c r="AZ26">
        <f t="shared" si="30"/>
        <v>1</v>
      </c>
      <c r="BA26">
        <f t="shared" si="31"/>
        <v>1</v>
      </c>
      <c r="BB26">
        <f t="shared" si="32"/>
        <v>1</v>
      </c>
      <c r="BC26">
        <f t="shared" si="33"/>
        <v>1</v>
      </c>
      <c r="BD26">
        <f t="shared" si="34"/>
        <v>1</v>
      </c>
      <c r="BE26">
        <f t="shared" si="35"/>
        <v>1</v>
      </c>
      <c r="BF26">
        <f t="shared" si="36"/>
        <v>1</v>
      </c>
      <c r="BG26">
        <f t="shared" si="37"/>
        <v>1</v>
      </c>
      <c r="BH26">
        <f t="shared" si="38"/>
        <v>1</v>
      </c>
      <c r="BI26">
        <f t="shared" si="39"/>
        <v>1</v>
      </c>
      <c r="BJ26">
        <f t="shared" si="40"/>
        <v>1</v>
      </c>
      <c r="BK26">
        <f t="shared" si="41"/>
        <v>1</v>
      </c>
      <c r="BL26">
        <f t="shared" si="42"/>
        <v>1</v>
      </c>
      <c r="BM26">
        <f t="shared" si="43"/>
        <v>1</v>
      </c>
      <c r="BN26">
        <f t="shared" si="44"/>
        <v>1</v>
      </c>
      <c r="BO26">
        <f t="shared" si="45"/>
        <v>1</v>
      </c>
      <c r="BP26">
        <f t="shared" si="46"/>
        <v>1</v>
      </c>
      <c r="BQ26">
        <f t="shared" si="47"/>
        <v>1</v>
      </c>
      <c r="BR26">
        <f t="shared" si="48"/>
        <v>1</v>
      </c>
      <c r="BS26">
        <f t="shared" si="49"/>
        <v>1</v>
      </c>
      <c r="BT26">
        <f t="shared" si="50"/>
        <v>1</v>
      </c>
    </row>
    <row r="27" spans="1:72" ht="26.25" customHeight="1" x14ac:dyDescent="0.3">
      <c r="A27" s="23">
        <v>8.1999999999999993</v>
      </c>
      <c r="B27" s="24" t="s">
        <v>96</v>
      </c>
      <c r="C27" s="25">
        <v>67000</v>
      </c>
      <c r="D27" s="26">
        <v>21978</v>
      </c>
      <c r="E27" s="26" t="s">
        <v>97</v>
      </c>
      <c r="F27" s="26">
        <v>2036</v>
      </c>
      <c r="G27" s="24" t="s">
        <v>98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54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32">
        <f t="shared" si="13"/>
        <v>137350</v>
      </c>
      <c r="AD27" s="32">
        <f t="shared" si="14"/>
        <v>498031</v>
      </c>
      <c r="AE27" s="28" t="str">
        <f t="shared" si="15"/>
        <v>OUTSTANDING</v>
      </c>
      <c r="AF27" s="28"/>
      <c r="AG27" s="33"/>
      <c r="AH27" s="34"/>
      <c r="AL27">
        <f t="shared" si="16"/>
        <v>1</v>
      </c>
      <c r="AM27">
        <f t="shared" si="17"/>
        <v>1</v>
      </c>
      <c r="AN27">
        <f t="shared" si="18"/>
        <v>1</v>
      </c>
      <c r="AO27">
        <f t="shared" si="19"/>
        <v>1</v>
      </c>
      <c r="AP27">
        <f t="shared" si="20"/>
        <v>1</v>
      </c>
      <c r="AQ27">
        <f t="shared" si="21"/>
        <v>1</v>
      </c>
      <c r="AR27">
        <f t="shared" si="22"/>
        <v>1</v>
      </c>
      <c r="AS27">
        <f t="shared" si="23"/>
        <v>1</v>
      </c>
      <c r="AT27">
        <f t="shared" si="24"/>
        <v>1</v>
      </c>
      <c r="AU27">
        <f t="shared" si="25"/>
        <v>1</v>
      </c>
      <c r="AV27">
        <f t="shared" si="26"/>
        <v>1</v>
      </c>
      <c r="AW27">
        <f t="shared" si="27"/>
        <v>1</v>
      </c>
      <c r="AX27">
        <f t="shared" si="28"/>
        <v>1</v>
      </c>
      <c r="AY27">
        <f t="shared" si="29"/>
        <v>1</v>
      </c>
      <c r="AZ27">
        <f t="shared" si="30"/>
        <v>1</v>
      </c>
      <c r="BA27">
        <f t="shared" si="31"/>
        <v>1</v>
      </c>
      <c r="BB27">
        <f t="shared" si="32"/>
        <v>1</v>
      </c>
      <c r="BC27">
        <f t="shared" si="33"/>
        <v>1</v>
      </c>
      <c r="BD27">
        <f t="shared" si="34"/>
        <v>1</v>
      </c>
      <c r="BE27">
        <f t="shared" si="35"/>
        <v>1</v>
      </c>
      <c r="BF27">
        <f t="shared" si="36"/>
        <v>1</v>
      </c>
      <c r="BG27">
        <f t="shared" si="37"/>
        <v>1</v>
      </c>
      <c r="BH27">
        <f t="shared" si="38"/>
        <v>1</v>
      </c>
      <c r="BI27">
        <f t="shared" si="39"/>
        <v>1</v>
      </c>
      <c r="BJ27">
        <f t="shared" si="40"/>
        <v>1</v>
      </c>
      <c r="BK27">
        <f t="shared" si="41"/>
        <v>1</v>
      </c>
      <c r="BL27">
        <f t="shared" si="42"/>
        <v>1</v>
      </c>
      <c r="BM27">
        <f t="shared" si="43"/>
        <v>1</v>
      </c>
      <c r="BN27">
        <f t="shared" si="44"/>
        <v>1</v>
      </c>
      <c r="BO27">
        <f t="shared" si="45"/>
        <v>1</v>
      </c>
      <c r="BP27">
        <f t="shared" si="46"/>
        <v>1</v>
      </c>
      <c r="BQ27">
        <f t="shared" si="47"/>
        <v>1</v>
      </c>
      <c r="BR27">
        <f t="shared" si="48"/>
        <v>1</v>
      </c>
      <c r="BS27">
        <f t="shared" si="49"/>
        <v>1</v>
      </c>
      <c r="BT27">
        <f t="shared" si="50"/>
        <v>1</v>
      </c>
    </row>
    <row r="28" spans="1:72" ht="14.25" customHeight="1" x14ac:dyDescent="0.3">
      <c r="A28" s="35">
        <v>50</v>
      </c>
      <c r="B28" s="36" t="s">
        <v>76</v>
      </c>
      <c r="C28" s="37">
        <v>531</v>
      </c>
      <c r="D28" s="38">
        <v>21978</v>
      </c>
      <c r="E28" s="38" t="s">
        <v>40</v>
      </c>
      <c r="F28" s="38">
        <v>2037</v>
      </c>
      <c r="G28" s="36" t="s">
        <v>92</v>
      </c>
      <c r="H28" s="39">
        <v>26550</v>
      </c>
      <c r="I28" s="39">
        <f t="shared" si="0"/>
        <v>4779</v>
      </c>
      <c r="J28" s="39">
        <f t="shared" si="1"/>
        <v>31329</v>
      </c>
      <c r="K28" s="39">
        <f t="shared" si="2"/>
        <v>627</v>
      </c>
      <c r="L28" s="40">
        <f t="shared" si="3"/>
        <v>26.55</v>
      </c>
      <c r="M28" s="40">
        <f t="shared" si="4"/>
        <v>704.90249999999992</v>
      </c>
      <c r="N28" s="41">
        <f t="shared" si="5"/>
        <v>11.9475</v>
      </c>
      <c r="O28" s="40">
        <f t="shared" si="6"/>
        <v>692.95499999999993</v>
      </c>
      <c r="P28" s="40">
        <f t="shared" si="7"/>
        <v>720</v>
      </c>
      <c r="Q28" s="42">
        <v>0</v>
      </c>
      <c r="R28" s="40">
        <f t="shared" si="8"/>
        <v>0</v>
      </c>
      <c r="S28" s="39">
        <f t="shared" si="9"/>
        <v>31236</v>
      </c>
      <c r="T28" s="40">
        <f t="shared" si="10"/>
        <v>6638</v>
      </c>
      <c r="U28" s="43">
        <v>6638</v>
      </c>
      <c r="V28" s="40" t="s">
        <v>54</v>
      </c>
      <c r="W28" s="40">
        <f t="shared" si="11"/>
        <v>24599</v>
      </c>
      <c r="X28" s="40">
        <v>24598</v>
      </c>
      <c r="Y28" s="40" t="s">
        <v>86</v>
      </c>
      <c r="Z28" s="40">
        <f t="shared" ca="1" si="12"/>
        <v>939.87000000000012</v>
      </c>
      <c r="AA28" s="40"/>
      <c r="AB28" s="40"/>
      <c r="AC28" s="15">
        <f t="shared" si="13"/>
        <v>31236</v>
      </c>
      <c r="AD28" s="19">
        <f t="shared" si="14"/>
        <v>0</v>
      </c>
      <c r="AE28" s="20" t="str">
        <f t="shared" si="15"/>
        <v>SETTLED</v>
      </c>
      <c r="AF28" s="20" t="s">
        <v>99</v>
      </c>
      <c r="AG28" s="21">
        <v>1800003318</v>
      </c>
      <c r="AH28" s="22" t="s">
        <v>44</v>
      </c>
      <c r="AL28">
        <f t="shared" si="16"/>
        <v>1</v>
      </c>
      <c r="AM28">
        <f t="shared" si="17"/>
        <v>1</v>
      </c>
      <c r="AN28">
        <f t="shared" si="18"/>
        <v>1</v>
      </c>
      <c r="AO28">
        <f t="shared" si="19"/>
        <v>1</v>
      </c>
      <c r="AP28">
        <f t="shared" si="20"/>
        <v>1</v>
      </c>
      <c r="AQ28">
        <f t="shared" si="21"/>
        <v>1</v>
      </c>
      <c r="AR28">
        <f t="shared" si="22"/>
        <v>1</v>
      </c>
      <c r="AS28">
        <f t="shared" si="23"/>
        <v>1</v>
      </c>
      <c r="AT28">
        <f t="shared" si="24"/>
        <v>1</v>
      </c>
      <c r="AU28">
        <f t="shared" si="25"/>
        <v>1</v>
      </c>
      <c r="AV28">
        <f t="shared" si="26"/>
        <v>1</v>
      </c>
      <c r="AW28">
        <f t="shared" si="27"/>
        <v>1</v>
      </c>
      <c r="AX28">
        <f t="shared" si="28"/>
        <v>1</v>
      </c>
      <c r="AY28">
        <f t="shared" si="29"/>
        <v>1</v>
      </c>
      <c r="AZ28">
        <f t="shared" si="30"/>
        <v>1</v>
      </c>
      <c r="BA28">
        <f t="shared" si="31"/>
        <v>1</v>
      </c>
      <c r="BB28">
        <f t="shared" si="32"/>
        <v>1</v>
      </c>
      <c r="BC28">
        <f t="shared" si="33"/>
        <v>1</v>
      </c>
      <c r="BD28">
        <f t="shared" si="34"/>
        <v>1</v>
      </c>
      <c r="BE28">
        <f t="shared" si="35"/>
        <v>1</v>
      </c>
      <c r="BF28">
        <f t="shared" si="36"/>
        <v>1</v>
      </c>
      <c r="BG28">
        <f t="shared" si="37"/>
        <v>1</v>
      </c>
      <c r="BH28">
        <f t="shared" si="38"/>
        <v>1</v>
      </c>
      <c r="BI28">
        <f t="shared" si="39"/>
        <v>1</v>
      </c>
      <c r="BJ28">
        <f t="shared" si="40"/>
        <v>1</v>
      </c>
      <c r="BK28">
        <f t="shared" si="41"/>
        <v>1</v>
      </c>
      <c r="BL28">
        <f t="shared" si="42"/>
        <v>1</v>
      </c>
      <c r="BM28">
        <f t="shared" si="43"/>
        <v>1</v>
      </c>
      <c r="BN28">
        <f t="shared" si="44"/>
        <v>1</v>
      </c>
      <c r="BO28">
        <f t="shared" si="45"/>
        <v>1</v>
      </c>
      <c r="BP28">
        <f t="shared" si="46"/>
        <v>1</v>
      </c>
      <c r="BQ28">
        <f t="shared" si="47"/>
        <v>1</v>
      </c>
      <c r="BR28">
        <f t="shared" si="48"/>
        <v>1</v>
      </c>
      <c r="BS28">
        <f t="shared" si="49"/>
        <v>1</v>
      </c>
      <c r="BT28">
        <f t="shared" si="50"/>
        <v>1</v>
      </c>
    </row>
    <row r="29" spans="1:72" ht="14.25" customHeight="1" x14ac:dyDescent="0.3">
      <c r="A29" s="23">
        <v>3</v>
      </c>
      <c r="B29" s="24" t="s">
        <v>100</v>
      </c>
      <c r="C29" s="25">
        <v>90002</v>
      </c>
      <c r="D29" s="26">
        <v>21978</v>
      </c>
      <c r="E29" s="26" t="s">
        <v>40</v>
      </c>
      <c r="F29" s="26">
        <v>2040</v>
      </c>
      <c r="G29" s="24" t="s">
        <v>67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47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32">
        <f t="shared" si="13"/>
        <v>67502</v>
      </c>
      <c r="AD29" s="32">
        <f t="shared" si="14"/>
        <v>250160</v>
      </c>
      <c r="AE29" s="28" t="str">
        <f t="shared" si="15"/>
        <v>OUTSTANDING</v>
      </c>
      <c r="AF29" s="28"/>
      <c r="AG29" s="33"/>
      <c r="AH29" s="34"/>
      <c r="AL29">
        <f t="shared" si="16"/>
        <v>1</v>
      </c>
      <c r="AM29">
        <f t="shared" si="17"/>
        <v>1</v>
      </c>
      <c r="AN29">
        <f t="shared" si="18"/>
        <v>1</v>
      </c>
      <c r="AO29">
        <f t="shared" si="19"/>
        <v>1</v>
      </c>
      <c r="AP29">
        <f t="shared" si="20"/>
        <v>1</v>
      </c>
      <c r="AQ29">
        <f t="shared" si="21"/>
        <v>1</v>
      </c>
      <c r="AR29">
        <f t="shared" si="22"/>
        <v>1</v>
      </c>
      <c r="AS29">
        <f t="shared" si="23"/>
        <v>1</v>
      </c>
      <c r="AT29">
        <f t="shared" si="24"/>
        <v>1</v>
      </c>
      <c r="AU29">
        <f t="shared" si="25"/>
        <v>1</v>
      </c>
      <c r="AV29">
        <f t="shared" si="26"/>
        <v>1</v>
      </c>
      <c r="AW29">
        <f t="shared" si="27"/>
        <v>1</v>
      </c>
      <c r="AX29">
        <f t="shared" si="28"/>
        <v>1</v>
      </c>
      <c r="AY29">
        <f t="shared" si="29"/>
        <v>1</v>
      </c>
      <c r="AZ29">
        <f t="shared" si="30"/>
        <v>1</v>
      </c>
      <c r="BA29">
        <f t="shared" si="31"/>
        <v>1</v>
      </c>
      <c r="BB29">
        <f t="shared" si="32"/>
        <v>1</v>
      </c>
      <c r="BC29">
        <f t="shared" si="33"/>
        <v>1</v>
      </c>
      <c r="BD29">
        <f t="shared" si="34"/>
        <v>1</v>
      </c>
      <c r="BE29">
        <f t="shared" si="35"/>
        <v>1</v>
      </c>
      <c r="BF29">
        <f t="shared" si="36"/>
        <v>1</v>
      </c>
      <c r="BG29">
        <f t="shared" si="37"/>
        <v>1</v>
      </c>
      <c r="BH29">
        <f t="shared" si="38"/>
        <v>1</v>
      </c>
      <c r="BI29">
        <f t="shared" si="39"/>
        <v>1</v>
      </c>
      <c r="BJ29">
        <f t="shared" si="40"/>
        <v>1</v>
      </c>
      <c r="BK29">
        <f t="shared" si="41"/>
        <v>1</v>
      </c>
      <c r="BL29">
        <f t="shared" si="42"/>
        <v>1</v>
      </c>
      <c r="BM29">
        <f t="shared" si="43"/>
        <v>1</v>
      </c>
      <c r="BN29">
        <f t="shared" si="44"/>
        <v>1</v>
      </c>
      <c r="BO29">
        <f t="shared" si="45"/>
        <v>1</v>
      </c>
      <c r="BP29">
        <f t="shared" si="46"/>
        <v>1</v>
      </c>
      <c r="BQ29">
        <f t="shared" si="47"/>
        <v>1</v>
      </c>
      <c r="BR29">
        <f t="shared" si="48"/>
        <v>1</v>
      </c>
      <c r="BS29">
        <f t="shared" si="49"/>
        <v>1</v>
      </c>
      <c r="BT29">
        <f t="shared" si="50"/>
        <v>1</v>
      </c>
    </row>
    <row r="30" spans="1:72" ht="14.25" customHeight="1" x14ac:dyDescent="0.3">
      <c r="A30" s="35">
        <v>5</v>
      </c>
      <c r="B30" s="36" t="s">
        <v>60</v>
      </c>
      <c r="C30" s="37">
        <v>80000</v>
      </c>
      <c r="D30" s="38">
        <v>21979</v>
      </c>
      <c r="E30" s="38" t="s">
        <v>40</v>
      </c>
      <c r="F30" s="38">
        <v>2043</v>
      </c>
      <c r="G30" s="36" t="s">
        <v>41</v>
      </c>
      <c r="H30" s="39">
        <v>400000</v>
      </c>
      <c r="I30" s="39">
        <f t="shared" si="0"/>
        <v>72000</v>
      </c>
      <c r="J30" s="39">
        <f t="shared" si="1"/>
        <v>472000</v>
      </c>
      <c r="K30" s="39">
        <f t="shared" si="2"/>
        <v>9440</v>
      </c>
      <c r="L30" s="40">
        <f t="shared" si="3"/>
        <v>400</v>
      </c>
      <c r="M30" s="40">
        <f t="shared" si="4"/>
        <v>10620</v>
      </c>
      <c r="N30" s="41">
        <f t="shared" si="5"/>
        <v>180</v>
      </c>
      <c r="O30" s="40">
        <f t="shared" si="6"/>
        <v>10440</v>
      </c>
      <c r="P30" s="40">
        <f t="shared" si="7"/>
        <v>10840</v>
      </c>
      <c r="Q30" s="42">
        <v>0</v>
      </c>
      <c r="R30" s="40">
        <f t="shared" si="8"/>
        <v>0</v>
      </c>
      <c r="S30" s="39">
        <f t="shared" si="9"/>
        <v>470600</v>
      </c>
      <c r="T30" s="40">
        <f t="shared" si="10"/>
        <v>100000</v>
      </c>
      <c r="U30" s="43">
        <f>+T30</f>
        <v>100000</v>
      </c>
      <c r="V30" s="40" t="s">
        <v>42</v>
      </c>
      <c r="W30" s="40">
        <f t="shared" si="11"/>
        <v>370600</v>
      </c>
      <c r="X30" s="40">
        <v>370600</v>
      </c>
      <c r="Y30" s="40" t="s">
        <v>36</v>
      </c>
      <c r="Z30" s="40">
        <f t="shared" ca="1" si="12"/>
        <v>14160</v>
      </c>
      <c r="AA30" s="40"/>
      <c r="AB30" s="40"/>
      <c r="AC30" s="15">
        <f t="shared" si="13"/>
        <v>470600</v>
      </c>
      <c r="AD30" s="19">
        <f t="shared" si="14"/>
        <v>0</v>
      </c>
      <c r="AE30" s="20" t="str">
        <f t="shared" si="15"/>
        <v>SETTLED</v>
      </c>
      <c r="AF30" s="20" t="s">
        <v>101</v>
      </c>
      <c r="AG30" s="21">
        <v>1800003311</v>
      </c>
      <c r="AH30" s="22" t="s">
        <v>44</v>
      </c>
      <c r="AL30">
        <f t="shared" si="16"/>
        <v>1</v>
      </c>
      <c r="AM30">
        <f t="shared" si="17"/>
        <v>1</v>
      </c>
      <c r="AN30">
        <f t="shared" si="18"/>
        <v>1</v>
      </c>
      <c r="AO30">
        <f t="shared" si="19"/>
        <v>1</v>
      </c>
      <c r="AP30">
        <f t="shared" si="20"/>
        <v>1</v>
      </c>
      <c r="AQ30">
        <f t="shared" si="21"/>
        <v>1</v>
      </c>
      <c r="AR30">
        <f t="shared" si="22"/>
        <v>1</v>
      </c>
      <c r="AS30">
        <f t="shared" si="23"/>
        <v>1</v>
      </c>
      <c r="AT30">
        <f t="shared" si="24"/>
        <v>1</v>
      </c>
      <c r="AU30">
        <f t="shared" si="25"/>
        <v>1</v>
      </c>
      <c r="AV30">
        <f t="shared" si="26"/>
        <v>1</v>
      </c>
      <c r="AW30">
        <f t="shared" si="27"/>
        <v>1</v>
      </c>
      <c r="AX30">
        <f t="shared" si="28"/>
        <v>1</v>
      </c>
      <c r="AY30">
        <f t="shared" si="29"/>
        <v>1</v>
      </c>
      <c r="AZ30">
        <f t="shared" si="30"/>
        <v>1</v>
      </c>
      <c r="BA30">
        <f t="shared" si="31"/>
        <v>1</v>
      </c>
      <c r="BB30">
        <f t="shared" si="32"/>
        <v>1</v>
      </c>
      <c r="BC30">
        <f t="shared" si="33"/>
        <v>1</v>
      </c>
      <c r="BD30">
        <f t="shared" si="34"/>
        <v>1</v>
      </c>
      <c r="BE30">
        <f t="shared" si="35"/>
        <v>1</v>
      </c>
      <c r="BF30">
        <f t="shared" si="36"/>
        <v>1</v>
      </c>
      <c r="BG30">
        <f t="shared" si="37"/>
        <v>1</v>
      </c>
      <c r="BH30">
        <f t="shared" si="38"/>
        <v>1</v>
      </c>
      <c r="BI30">
        <f t="shared" si="39"/>
        <v>1</v>
      </c>
      <c r="BJ30">
        <f t="shared" si="40"/>
        <v>1</v>
      </c>
      <c r="BK30">
        <f t="shared" si="41"/>
        <v>1</v>
      </c>
      <c r="BL30">
        <f t="shared" si="42"/>
        <v>1</v>
      </c>
      <c r="BM30">
        <f t="shared" si="43"/>
        <v>1</v>
      </c>
      <c r="BN30">
        <f t="shared" si="44"/>
        <v>1</v>
      </c>
      <c r="BO30">
        <f t="shared" si="45"/>
        <v>1</v>
      </c>
      <c r="BP30">
        <f t="shared" si="46"/>
        <v>1</v>
      </c>
      <c r="BQ30">
        <f t="shared" si="47"/>
        <v>1</v>
      </c>
      <c r="BR30">
        <f t="shared" si="48"/>
        <v>1</v>
      </c>
      <c r="BS30">
        <f t="shared" si="49"/>
        <v>1</v>
      </c>
      <c r="BT30">
        <f t="shared" si="50"/>
        <v>1</v>
      </c>
    </row>
    <row r="31" spans="1:72" ht="14.25" customHeight="1" x14ac:dyDescent="0.3">
      <c r="A31" s="23">
        <v>670</v>
      </c>
      <c r="B31" s="24" t="s">
        <v>102</v>
      </c>
      <c r="C31" s="25">
        <v>309</v>
      </c>
      <c r="D31" s="26">
        <v>21979</v>
      </c>
      <c r="E31" s="26" t="s">
        <v>34</v>
      </c>
      <c r="F31" s="26">
        <v>2046</v>
      </c>
      <c r="G31" s="24" t="s">
        <v>103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47</v>
      </c>
      <c r="W31" s="28">
        <f t="shared" si="11"/>
        <v>191813</v>
      </c>
      <c r="X31" s="28">
        <v>191812</v>
      </c>
      <c r="Y31" s="28" t="s">
        <v>86</v>
      </c>
      <c r="Z31" s="28">
        <f t="shared" ca="1" si="12"/>
        <v>7328.8619999999992</v>
      </c>
      <c r="AA31" s="28"/>
      <c r="AB31" s="28"/>
      <c r="AC31" s="32">
        <f t="shared" si="13"/>
        <v>243570</v>
      </c>
      <c r="AD31" s="32">
        <f t="shared" si="14"/>
        <v>1</v>
      </c>
      <c r="AE31" s="28" t="str">
        <f t="shared" si="15"/>
        <v>SETTLED</v>
      </c>
      <c r="AF31" s="28" t="s">
        <v>104</v>
      </c>
      <c r="AG31" s="33">
        <v>1800003316</v>
      </c>
      <c r="AH31" s="34" t="s">
        <v>44</v>
      </c>
      <c r="AL31">
        <f t="shared" si="16"/>
        <v>1</v>
      </c>
      <c r="AM31">
        <f t="shared" si="17"/>
        <v>1</v>
      </c>
      <c r="AN31">
        <f t="shared" si="18"/>
        <v>1</v>
      </c>
      <c r="AO31">
        <f t="shared" si="19"/>
        <v>1</v>
      </c>
      <c r="AP31">
        <f t="shared" si="20"/>
        <v>1</v>
      </c>
      <c r="AQ31">
        <f t="shared" si="21"/>
        <v>1</v>
      </c>
      <c r="AR31">
        <f t="shared" si="22"/>
        <v>1</v>
      </c>
      <c r="AS31">
        <f t="shared" si="23"/>
        <v>1</v>
      </c>
      <c r="AT31">
        <f t="shared" si="24"/>
        <v>1</v>
      </c>
      <c r="AU31">
        <f t="shared" si="25"/>
        <v>1</v>
      </c>
      <c r="AV31">
        <f t="shared" si="26"/>
        <v>1</v>
      </c>
      <c r="AW31">
        <f t="shared" si="27"/>
        <v>1</v>
      </c>
      <c r="AX31">
        <f t="shared" si="28"/>
        <v>1</v>
      </c>
      <c r="AY31">
        <f t="shared" si="29"/>
        <v>1</v>
      </c>
      <c r="AZ31">
        <f t="shared" si="30"/>
        <v>1</v>
      </c>
      <c r="BA31">
        <f t="shared" si="31"/>
        <v>1</v>
      </c>
      <c r="BB31">
        <f t="shared" si="32"/>
        <v>1</v>
      </c>
      <c r="BC31">
        <f t="shared" si="33"/>
        <v>1</v>
      </c>
      <c r="BD31">
        <f t="shared" si="34"/>
        <v>1</v>
      </c>
      <c r="BE31">
        <f t="shared" si="35"/>
        <v>1</v>
      </c>
      <c r="BF31">
        <f t="shared" si="36"/>
        <v>1</v>
      </c>
      <c r="BG31">
        <f t="shared" si="37"/>
        <v>1</v>
      </c>
      <c r="BH31">
        <f t="shared" si="38"/>
        <v>1</v>
      </c>
      <c r="BI31">
        <f t="shared" si="39"/>
        <v>1</v>
      </c>
      <c r="BJ31">
        <f t="shared" si="40"/>
        <v>1</v>
      </c>
      <c r="BK31">
        <f t="shared" si="41"/>
        <v>1</v>
      </c>
      <c r="BL31">
        <f t="shared" si="42"/>
        <v>1</v>
      </c>
      <c r="BM31">
        <f t="shared" si="43"/>
        <v>1</v>
      </c>
      <c r="BN31">
        <f t="shared" si="44"/>
        <v>1</v>
      </c>
      <c r="BO31">
        <f t="shared" si="45"/>
        <v>1</v>
      </c>
      <c r="BP31">
        <f t="shared" si="46"/>
        <v>1</v>
      </c>
      <c r="BQ31">
        <f t="shared" si="47"/>
        <v>1</v>
      </c>
      <c r="BR31">
        <f t="shared" si="48"/>
        <v>1</v>
      </c>
      <c r="BS31">
        <f t="shared" si="49"/>
        <v>1</v>
      </c>
      <c r="BT31">
        <f t="shared" si="50"/>
        <v>1</v>
      </c>
    </row>
    <row r="32" spans="1:72" ht="14.25" customHeight="1" x14ac:dyDescent="0.3">
      <c r="A32" s="35">
        <v>2</v>
      </c>
      <c r="B32" s="36" t="s">
        <v>105</v>
      </c>
      <c r="C32" s="37">
        <v>80006</v>
      </c>
      <c r="D32" s="38">
        <v>21979</v>
      </c>
      <c r="E32" s="38" t="s">
        <v>40</v>
      </c>
      <c r="F32" s="38">
        <v>2055</v>
      </c>
      <c r="G32" s="36" t="s">
        <v>41</v>
      </c>
      <c r="H32" s="39">
        <v>160012</v>
      </c>
      <c r="I32" s="39">
        <f t="shared" si="0"/>
        <v>28802</v>
      </c>
      <c r="J32" s="39">
        <f t="shared" si="1"/>
        <v>188814</v>
      </c>
      <c r="K32" s="39">
        <f t="shared" si="2"/>
        <v>3776</v>
      </c>
      <c r="L32" s="40">
        <f t="shared" si="3"/>
        <v>160.012</v>
      </c>
      <c r="M32" s="40">
        <f t="shared" si="4"/>
        <v>4248.3185999999996</v>
      </c>
      <c r="N32" s="41">
        <f t="shared" si="5"/>
        <v>72.005399999999995</v>
      </c>
      <c r="O32" s="40">
        <f t="shared" si="6"/>
        <v>4176.3131999999996</v>
      </c>
      <c r="P32" s="40">
        <f t="shared" si="7"/>
        <v>4336</v>
      </c>
      <c r="Q32" s="42">
        <v>0</v>
      </c>
      <c r="R32" s="40">
        <f t="shared" si="8"/>
        <v>0</v>
      </c>
      <c r="S32" s="39">
        <f t="shared" si="9"/>
        <v>188254</v>
      </c>
      <c r="T32" s="40">
        <f t="shared" si="10"/>
        <v>40003</v>
      </c>
      <c r="U32" s="43">
        <f>+T32</f>
        <v>40003</v>
      </c>
      <c r="V32" s="40" t="s">
        <v>42</v>
      </c>
      <c r="W32" s="40">
        <f t="shared" si="11"/>
        <v>148251</v>
      </c>
      <c r="X32" s="40">
        <v>148251</v>
      </c>
      <c r="Y32" s="40" t="s">
        <v>36</v>
      </c>
      <c r="Z32" s="40">
        <f t="shared" ca="1" si="12"/>
        <v>5664.4247999999998</v>
      </c>
      <c r="AA32" s="40"/>
      <c r="AB32" s="40"/>
      <c r="AC32" s="15">
        <f t="shared" si="13"/>
        <v>188254</v>
      </c>
      <c r="AD32" s="19">
        <f t="shared" si="14"/>
        <v>0</v>
      </c>
      <c r="AE32" s="20" t="str">
        <f t="shared" si="15"/>
        <v>SETTLED</v>
      </c>
      <c r="AF32" s="20" t="s">
        <v>106</v>
      </c>
      <c r="AG32" s="21">
        <v>1800003312</v>
      </c>
      <c r="AH32" s="22" t="s">
        <v>44</v>
      </c>
      <c r="AL32">
        <f t="shared" si="16"/>
        <v>1</v>
      </c>
      <c r="AM32">
        <f t="shared" si="17"/>
        <v>1</v>
      </c>
      <c r="AN32">
        <f t="shared" si="18"/>
        <v>1</v>
      </c>
      <c r="AO32">
        <f t="shared" si="19"/>
        <v>1</v>
      </c>
      <c r="AP32">
        <f t="shared" si="20"/>
        <v>1</v>
      </c>
      <c r="AQ32">
        <f t="shared" si="21"/>
        <v>1</v>
      </c>
      <c r="AR32">
        <f t="shared" si="22"/>
        <v>1</v>
      </c>
      <c r="AS32">
        <f t="shared" si="23"/>
        <v>1</v>
      </c>
      <c r="AT32">
        <f t="shared" si="24"/>
        <v>1</v>
      </c>
      <c r="AU32">
        <f t="shared" si="25"/>
        <v>1</v>
      </c>
      <c r="AV32">
        <f t="shared" si="26"/>
        <v>1</v>
      </c>
      <c r="AW32">
        <f t="shared" si="27"/>
        <v>1</v>
      </c>
      <c r="AX32">
        <f t="shared" si="28"/>
        <v>1</v>
      </c>
      <c r="AY32">
        <f t="shared" si="29"/>
        <v>1</v>
      </c>
      <c r="AZ32">
        <f t="shared" si="30"/>
        <v>1</v>
      </c>
      <c r="BA32">
        <f t="shared" si="31"/>
        <v>1</v>
      </c>
      <c r="BB32">
        <f t="shared" si="32"/>
        <v>1</v>
      </c>
      <c r="BC32">
        <f t="shared" si="33"/>
        <v>1</v>
      </c>
      <c r="BD32">
        <f t="shared" si="34"/>
        <v>1</v>
      </c>
      <c r="BE32">
        <f t="shared" si="35"/>
        <v>1</v>
      </c>
      <c r="BF32">
        <f t="shared" si="36"/>
        <v>1</v>
      </c>
      <c r="BG32">
        <f t="shared" si="37"/>
        <v>1</v>
      </c>
      <c r="BH32">
        <f t="shared" si="38"/>
        <v>1</v>
      </c>
      <c r="BI32">
        <f t="shared" si="39"/>
        <v>1</v>
      </c>
      <c r="BJ32">
        <f t="shared" si="40"/>
        <v>1</v>
      </c>
      <c r="BK32">
        <f t="shared" si="41"/>
        <v>1</v>
      </c>
      <c r="BL32">
        <f t="shared" si="42"/>
        <v>1</v>
      </c>
      <c r="BM32">
        <f t="shared" si="43"/>
        <v>1</v>
      </c>
      <c r="BN32">
        <f t="shared" si="44"/>
        <v>1</v>
      </c>
      <c r="BO32">
        <f t="shared" si="45"/>
        <v>1</v>
      </c>
      <c r="BP32">
        <f t="shared" si="46"/>
        <v>1</v>
      </c>
      <c r="BQ32">
        <f t="shared" si="47"/>
        <v>1</v>
      </c>
      <c r="BR32">
        <f t="shared" si="48"/>
        <v>1</v>
      </c>
      <c r="BS32">
        <f t="shared" si="49"/>
        <v>1</v>
      </c>
      <c r="BT32">
        <f t="shared" si="50"/>
        <v>1</v>
      </c>
    </row>
    <row r="33" spans="1:72" ht="14.25" customHeight="1" x14ac:dyDescent="0.3">
      <c r="A33" s="23">
        <v>1</v>
      </c>
      <c r="B33" s="24" t="s">
        <v>107</v>
      </c>
      <c r="C33" s="25">
        <v>29502</v>
      </c>
      <c r="D33" s="26">
        <v>21979</v>
      </c>
      <c r="E33" s="26" t="s">
        <v>40</v>
      </c>
      <c r="F33" s="26">
        <v>2059</v>
      </c>
      <c r="G33" s="24" t="s">
        <v>41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42</v>
      </c>
      <c r="W33" s="28">
        <f t="shared" si="11"/>
        <v>27334</v>
      </c>
      <c r="X33" s="28">
        <v>27332</v>
      </c>
      <c r="Y33" s="28" t="s">
        <v>36</v>
      </c>
      <c r="Z33" s="28">
        <f t="shared" ca="1" si="12"/>
        <v>1044.3708000000001</v>
      </c>
      <c r="AA33" s="28"/>
      <c r="AB33" s="28"/>
      <c r="AC33" s="32">
        <f t="shared" si="13"/>
        <v>34708</v>
      </c>
      <c r="AD33" s="32">
        <f t="shared" si="14"/>
        <v>1</v>
      </c>
      <c r="AE33" s="28" t="str">
        <f t="shared" si="15"/>
        <v>SETTLED</v>
      </c>
      <c r="AF33" s="28" t="s">
        <v>108</v>
      </c>
      <c r="AG33" s="33">
        <v>1800003313</v>
      </c>
      <c r="AH33" s="34" t="s">
        <v>44</v>
      </c>
      <c r="AL33">
        <f t="shared" si="16"/>
        <v>1</v>
      </c>
      <c r="AM33">
        <f t="shared" si="17"/>
        <v>1</v>
      </c>
      <c r="AN33">
        <f t="shared" si="18"/>
        <v>1</v>
      </c>
      <c r="AO33">
        <f t="shared" si="19"/>
        <v>1</v>
      </c>
      <c r="AP33">
        <f t="shared" si="20"/>
        <v>1</v>
      </c>
      <c r="AQ33">
        <f t="shared" si="21"/>
        <v>1</v>
      </c>
      <c r="AR33">
        <f t="shared" si="22"/>
        <v>1</v>
      </c>
      <c r="AS33">
        <f t="shared" si="23"/>
        <v>1</v>
      </c>
      <c r="AT33">
        <f t="shared" si="24"/>
        <v>1</v>
      </c>
      <c r="AU33">
        <f t="shared" si="25"/>
        <v>1</v>
      </c>
      <c r="AV33">
        <f t="shared" si="26"/>
        <v>1</v>
      </c>
      <c r="AW33">
        <f t="shared" si="27"/>
        <v>1</v>
      </c>
      <c r="AX33">
        <f t="shared" si="28"/>
        <v>1</v>
      </c>
      <c r="AY33">
        <f t="shared" si="29"/>
        <v>1</v>
      </c>
      <c r="AZ33">
        <f t="shared" si="30"/>
        <v>1</v>
      </c>
      <c r="BA33">
        <f t="shared" si="31"/>
        <v>1</v>
      </c>
      <c r="BB33">
        <f t="shared" si="32"/>
        <v>1</v>
      </c>
      <c r="BC33">
        <f t="shared" si="33"/>
        <v>1</v>
      </c>
      <c r="BD33">
        <f t="shared" si="34"/>
        <v>1</v>
      </c>
      <c r="BE33">
        <f t="shared" si="35"/>
        <v>1</v>
      </c>
      <c r="BF33">
        <f t="shared" si="36"/>
        <v>1</v>
      </c>
      <c r="BG33">
        <f t="shared" si="37"/>
        <v>1</v>
      </c>
      <c r="BH33">
        <f t="shared" si="38"/>
        <v>1</v>
      </c>
      <c r="BI33">
        <f t="shared" si="39"/>
        <v>1</v>
      </c>
      <c r="BJ33">
        <f t="shared" si="40"/>
        <v>1</v>
      </c>
      <c r="BK33">
        <f t="shared" si="41"/>
        <v>1</v>
      </c>
      <c r="BL33">
        <f t="shared" si="42"/>
        <v>1</v>
      </c>
      <c r="BM33">
        <f t="shared" si="43"/>
        <v>1</v>
      </c>
      <c r="BN33">
        <f t="shared" si="44"/>
        <v>1</v>
      </c>
      <c r="BO33">
        <f t="shared" si="45"/>
        <v>1</v>
      </c>
      <c r="BP33">
        <f t="shared" si="46"/>
        <v>1</v>
      </c>
      <c r="BQ33">
        <f t="shared" si="47"/>
        <v>1</v>
      </c>
      <c r="BR33">
        <f t="shared" si="48"/>
        <v>1</v>
      </c>
      <c r="BS33">
        <f t="shared" si="49"/>
        <v>1</v>
      </c>
      <c r="BT33">
        <f t="shared" si="50"/>
        <v>1</v>
      </c>
    </row>
    <row r="34" spans="1:72" ht="14.25" customHeight="1" x14ac:dyDescent="0.3">
      <c r="A34" s="35">
        <v>30</v>
      </c>
      <c r="B34" s="36" t="s">
        <v>109</v>
      </c>
      <c r="C34" s="37">
        <v>702</v>
      </c>
      <c r="D34" s="38">
        <v>21979</v>
      </c>
      <c r="E34" s="38" t="s">
        <v>40</v>
      </c>
      <c r="F34" s="38">
        <v>2062</v>
      </c>
      <c r="G34" s="36" t="s">
        <v>67</v>
      </c>
      <c r="H34" s="39">
        <v>21060</v>
      </c>
      <c r="I34" s="39">
        <f t="shared" si="0"/>
        <v>3791</v>
      </c>
      <c r="J34" s="39">
        <f t="shared" si="1"/>
        <v>24851</v>
      </c>
      <c r="K34" s="39">
        <f t="shared" si="2"/>
        <v>497</v>
      </c>
      <c r="L34" s="40">
        <f t="shared" si="3"/>
        <v>21.06</v>
      </c>
      <c r="M34" s="40">
        <f t="shared" si="4"/>
        <v>559.14299999999992</v>
      </c>
      <c r="N34" s="41">
        <f t="shared" si="5"/>
        <v>9.4770000000000003</v>
      </c>
      <c r="O34" s="40">
        <f t="shared" si="6"/>
        <v>549.66599999999994</v>
      </c>
      <c r="P34" s="40">
        <f t="shared" si="7"/>
        <v>571</v>
      </c>
      <c r="Q34" s="42">
        <v>0</v>
      </c>
      <c r="R34" s="40">
        <f t="shared" si="8"/>
        <v>0</v>
      </c>
      <c r="S34" s="39">
        <f t="shared" si="9"/>
        <v>24777</v>
      </c>
      <c r="T34" s="40">
        <f t="shared" si="10"/>
        <v>5265</v>
      </c>
      <c r="U34" s="43">
        <v>5265</v>
      </c>
      <c r="V34" s="40" t="s">
        <v>47</v>
      </c>
      <c r="W34" s="40">
        <f t="shared" si="11"/>
        <v>19512</v>
      </c>
      <c r="X34" s="40">
        <v>19512</v>
      </c>
      <c r="Y34" s="40" t="s">
        <v>47</v>
      </c>
      <c r="Z34" s="40">
        <f t="shared" ca="1" si="12"/>
        <v>745.52399999999989</v>
      </c>
      <c r="AA34" s="40"/>
      <c r="AB34" s="40"/>
      <c r="AC34" s="15">
        <f t="shared" si="13"/>
        <v>24777</v>
      </c>
      <c r="AD34" s="19">
        <f t="shared" si="14"/>
        <v>0</v>
      </c>
      <c r="AE34" s="20" t="str">
        <f t="shared" si="15"/>
        <v>SETTLED</v>
      </c>
      <c r="AF34" s="20" t="s">
        <v>110</v>
      </c>
      <c r="AG34" s="21">
        <v>1800003161</v>
      </c>
      <c r="AH34" s="22" t="s">
        <v>54</v>
      </c>
      <c r="AL34">
        <f t="shared" si="16"/>
        <v>1</v>
      </c>
      <c r="AM34">
        <f t="shared" si="17"/>
        <v>1</v>
      </c>
      <c r="AN34">
        <f t="shared" si="18"/>
        <v>1</v>
      </c>
      <c r="AO34">
        <f t="shared" si="19"/>
        <v>1</v>
      </c>
      <c r="AP34">
        <f t="shared" si="20"/>
        <v>1</v>
      </c>
      <c r="AQ34">
        <f t="shared" si="21"/>
        <v>1</v>
      </c>
      <c r="AR34">
        <f t="shared" si="22"/>
        <v>1</v>
      </c>
      <c r="AS34">
        <f t="shared" si="23"/>
        <v>1</v>
      </c>
      <c r="AT34">
        <f t="shared" si="24"/>
        <v>1</v>
      </c>
      <c r="AU34">
        <f t="shared" si="25"/>
        <v>1</v>
      </c>
      <c r="AV34">
        <f t="shared" si="26"/>
        <v>1</v>
      </c>
      <c r="AW34">
        <f t="shared" si="27"/>
        <v>1</v>
      </c>
      <c r="AX34">
        <f t="shared" si="28"/>
        <v>1</v>
      </c>
      <c r="AY34">
        <f t="shared" si="29"/>
        <v>1</v>
      </c>
      <c r="AZ34">
        <f t="shared" si="30"/>
        <v>1</v>
      </c>
      <c r="BA34">
        <f t="shared" si="31"/>
        <v>1</v>
      </c>
      <c r="BB34">
        <f t="shared" si="32"/>
        <v>1</v>
      </c>
      <c r="BC34">
        <f t="shared" si="33"/>
        <v>1</v>
      </c>
      <c r="BD34">
        <f t="shared" si="34"/>
        <v>1</v>
      </c>
      <c r="BE34">
        <f t="shared" si="35"/>
        <v>1</v>
      </c>
      <c r="BF34">
        <f t="shared" si="36"/>
        <v>1</v>
      </c>
      <c r="BG34">
        <f t="shared" si="37"/>
        <v>1</v>
      </c>
      <c r="BH34">
        <f t="shared" si="38"/>
        <v>1</v>
      </c>
      <c r="BI34">
        <f t="shared" si="39"/>
        <v>1</v>
      </c>
      <c r="BJ34">
        <f t="shared" si="40"/>
        <v>1</v>
      </c>
      <c r="BK34">
        <f t="shared" si="41"/>
        <v>1</v>
      </c>
      <c r="BL34">
        <f t="shared" si="42"/>
        <v>1</v>
      </c>
      <c r="BM34">
        <f t="shared" si="43"/>
        <v>1</v>
      </c>
      <c r="BN34">
        <f t="shared" si="44"/>
        <v>1</v>
      </c>
      <c r="BO34">
        <f t="shared" si="45"/>
        <v>1</v>
      </c>
      <c r="BP34">
        <f t="shared" si="46"/>
        <v>1</v>
      </c>
      <c r="BQ34">
        <f t="shared" si="47"/>
        <v>1</v>
      </c>
      <c r="BR34">
        <f t="shared" si="48"/>
        <v>1</v>
      </c>
      <c r="BS34">
        <f t="shared" si="49"/>
        <v>1</v>
      </c>
      <c r="BT34">
        <f t="shared" si="50"/>
        <v>1</v>
      </c>
    </row>
    <row r="35" spans="1:72" ht="14.25" customHeight="1" x14ac:dyDescent="0.3">
      <c r="A35" s="23">
        <v>150</v>
      </c>
      <c r="B35" s="24" t="s">
        <v>66</v>
      </c>
      <c r="C35" s="25">
        <v>571</v>
      </c>
      <c r="D35" s="26">
        <v>21980</v>
      </c>
      <c r="E35" s="26" t="s">
        <v>40</v>
      </c>
      <c r="F35" s="26">
        <v>2067</v>
      </c>
      <c r="G35" s="24" t="s">
        <v>92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54</v>
      </c>
      <c r="W35" s="28">
        <f t="shared" si="11"/>
        <v>79355</v>
      </c>
      <c r="X35" s="28">
        <v>79354</v>
      </c>
      <c r="Y35" s="28" t="s">
        <v>48</v>
      </c>
      <c r="Z35" s="28">
        <f t="shared" ca="1" si="12"/>
        <v>3032.0099999999998</v>
      </c>
      <c r="AA35" s="28"/>
      <c r="AB35" s="28"/>
      <c r="AC35" s="32">
        <f t="shared" si="13"/>
        <v>100767</v>
      </c>
      <c r="AD35" s="32">
        <f t="shared" si="14"/>
        <v>0</v>
      </c>
      <c r="AE35" s="28" t="str">
        <f t="shared" si="15"/>
        <v>SETTLED</v>
      </c>
      <c r="AF35" s="28" t="s">
        <v>111</v>
      </c>
      <c r="AG35" s="33">
        <v>1800003248</v>
      </c>
      <c r="AH35" s="34" t="s">
        <v>48</v>
      </c>
      <c r="AL35">
        <f t="shared" si="16"/>
        <v>1</v>
      </c>
      <c r="AM35">
        <f t="shared" si="17"/>
        <v>1</v>
      </c>
      <c r="AN35">
        <f t="shared" si="18"/>
        <v>1</v>
      </c>
      <c r="AO35">
        <f t="shared" si="19"/>
        <v>1</v>
      </c>
      <c r="AP35">
        <f t="shared" si="20"/>
        <v>1</v>
      </c>
      <c r="AQ35">
        <f t="shared" si="21"/>
        <v>1</v>
      </c>
      <c r="AR35">
        <f t="shared" si="22"/>
        <v>1</v>
      </c>
      <c r="AS35">
        <f t="shared" si="23"/>
        <v>1</v>
      </c>
      <c r="AT35">
        <f t="shared" si="24"/>
        <v>1</v>
      </c>
      <c r="AU35">
        <f t="shared" si="25"/>
        <v>1</v>
      </c>
      <c r="AV35">
        <f t="shared" si="26"/>
        <v>1</v>
      </c>
      <c r="AW35">
        <f t="shared" si="27"/>
        <v>1</v>
      </c>
      <c r="AX35">
        <f t="shared" si="28"/>
        <v>1</v>
      </c>
      <c r="AY35">
        <f t="shared" si="29"/>
        <v>1</v>
      </c>
      <c r="AZ35">
        <f t="shared" si="30"/>
        <v>1</v>
      </c>
      <c r="BA35">
        <f t="shared" si="31"/>
        <v>1</v>
      </c>
      <c r="BB35">
        <f t="shared" si="32"/>
        <v>1</v>
      </c>
      <c r="BC35">
        <f t="shared" si="33"/>
        <v>1</v>
      </c>
      <c r="BD35">
        <f t="shared" si="34"/>
        <v>1</v>
      </c>
      <c r="BE35">
        <f t="shared" si="35"/>
        <v>1</v>
      </c>
      <c r="BF35">
        <f t="shared" si="36"/>
        <v>1</v>
      </c>
      <c r="BG35">
        <f t="shared" si="37"/>
        <v>1</v>
      </c>
      <c r="BH35">
        <f t="shared" si="38"/>
        <v>1</v>
      </c>
      <c r="BI35">
        <f t="shared" si="39"/>
        <v>1</v>
      </c>
      <c r="BJ35">
        <f t="shared" si="40"/>
        <v>1</v>
      </c>
      <c r="BK35">
        <f t="shared" si="41"/>
        <v>1</v>
      </c>
      <c r="BL35">
        <f t="shared" si="42"/>
        <v>1</v>
      </c>
      <c r="BM35">
        <f t="shared" si="43"/>
        <v>1</v>
      </c>
      <c r="BN35">
        <f t="shared" si="44"/>
        <v>1</v>
      </c>
      <c r="BO35">
        <f t="shared" si="45"/>
        <v>1</v>
      </c>
      <c r="BP35">
        <f t="shared" si="46"/>
        <v>1</v>
      </c>
      <c r="BQ35">
        <f t="shared" si="47"/>
        <v>1</v>
      </c>
      <c r="BR35">
        <f t="shared" si="48"/>
        <v>1</v>
      </c>
      <c r="BS35">
        <f t="shared" si="49"/>
        <v>1</v>
      </c>
      <c r="BT35">
        <f t="shared" si="50"/>
        <v>1</v>
      </c>
    </row>
    <row r="36" spans="1:72" ht="14.25" customHeight="1" x14ac:dyDescent="0.3">
      <c r="A36" s="35">
        <v>1</v>
      </c>
      <c r="B36" s="36" t="s">
        <v>112</v>
      </c>
      <c r="C36" s="37">
        <v>54000</v>
      </c>
      <c r="D36" s="38">
        <v>21980</v>
      </c>
      <c r="E36" s="38" t="s">
        <v>40</v>
      </c>
      <c r="F36" s="38">
        <v>2069</v>
      </c>
      <c r="G36" s="36" t="s">
        <v>67</v>
      </c>
      <c r="H36" s="39">
        <v>54000</v>
      </c>
      <c r="I36" s="39">
        <f t="shared" si="0"/>
        <v>9720</v>
      </c>
      <c r="J36" s="39">
        <f t="shared" si="1"/>
        <v>63720</v>
      </c>
      <c r="K36" s="39">
        <f t="shared" si="2"/>
        <v>1274</v>
      </c>
      <c r="L36" s="40">
        <f t="shared" si="3"/>
        <v>54</v>
      </c>
      <c r="M36" s="40">
        <f t="shared" si="4"/>
        <v>1433.6999999999998</v>
      </c>
      <c r="N36" s="41">
        <f t="shared" si="5"/>
        <v>24.3</v>
      </c>
      <c r="O36" s="40">
        <f t="shared" si="6"/>
        <v>1409.3999999999999</v>
      </c>
      <c r="P36" s="40">
        <f t="shared" si="7"/>
        <v>1463</v>
      </c>
      <c r="Q36" s="42">
        <v>0</v>
      </c>
      <c r="R36" s="40">
        <f t="shared" si="8"/>
        <v>0</v>
      </c>
      <c r="S36" s="39">
        <f t="shared" si="9"/>
        <v>63531</v>
      </c>
      <c r="T36" s="40">
        <f t="shared" si="10"/>
        <v>13500</v>
      </c>
      <c r="U36" s="43">
        <v>13500</v>
      </c>
      <c r="V36" s="40" t="s">
        <v>47</v>
      </c>
      <c r="W36" s="40">
        <f t="shared" si="11"/>
        <v>50031</v>
      </c>
      <c r="X36" s="40"/>
      <c r="Y36" s="40">
        <v>0</v>
      </c>
      <c r="Z36" s="40">
        <f t="shared" ca="1" si="12"/>
        <v>1911.6</v>
      </c>
      <c r="AA36" s="40"/>
      <c r="AB36" s="40"/>
      <c r="AC36" s="15">
        <f t="shared" si="13"/>
        <v>13500</v>
      </c>
      <c r="AD36" s="19">
        <f t="shared" si="14"/>
        <v>50031</v>
      </c>
      <c r="AE36" s="20" t="str">
        <f t="shared" si="15"/>
        <v>OUTSTANDING</v>
      </c>
      <c r="AF36" s="20"/>
      <c r="AG36" s="21"/>
      <c r="AH36" s="22"/>
      <c r="AL36">
        <f t="shared" si="16"/>
        <v>1</v>
      </c>
      <c r="AM36">
        <f t="shared" si="17"/>
        <v>1</v>
      </c>
      <c r="AN36">
        <f t="shared" si="18"/>
        <v>1</v>
      </c>
      <c r="AO36">
        <f t="shared" si="19"/>
        <v>1</v>
      </c>
      <c r="AP36">
        <f t="shared" si="20"/>
        <v>1</v>
      </c>
      <c r="AQ36">
        <f t="shared" si="21"/>
        <v>1</v>
      </c>
      <c r="AR36">
        <f t="shared" si="22"/>
        <v>1</v>
      </c>
      <c r="AS36">
        <f t="shared" si="23"/>
        <v>1</v>
      </c>
      <c r="AT36">
        <f t="shared" si="24"/>
        <v>1</v>
      </c>
      <c r="AU36">
        <f t="shared" si="25"/>
        <v>1</v>
      </c>
      <c r="AV36">
        <f t="shared" si="26"/>
        <v>1</v>
      </c>
      <c r="AW36">
        <f t="shared" si="27"/>
        <v>1</v>
      </c>
      <c r="AX36">
        <f t="shared" si="28"/>
        <v>1</v>
      </c>
      <c r="AY36">
        <f t="shared" si="29"/>
        <v>1</v>
      </c>
      <c r="AZ36">
        <f t="shared" si="30"/>
        <v>1</v>
      </c>
      <c r="BA36">
        <f t="shared" si="31"/>
        <v>1</v>
      </c>
      <c r="BB36">
        <f t="shared" si="32"/>
        <v>1</v>
      </c>
      <c r="BC36">
        <f t="shared" si="33"/>
        <v>1</v>
      </c>
      <c r="BD36">
        <f t="shared" si="34"/>
        <v>1</v>
      </c>
      <c r="BE36">
        <f t="shared" si="35"/>
        <v>1</v>
      </c>
      <c r="BF36">
        <f t="shared" si="36"/>
        <v>1</v>
      </c>
      <c r="BG36">
        <f t="shared" si="37"/>
        <v>1</v>
      </c>
      <c r="BH36">
        <f t="shared" si="38"/>
        <v>1</v>
      </c>
      <c r="BI36">
        <f t="shared" si="39"/>
        <v>1</v>
      </c>
      <c r="BJ36">
        <f t="shared" si="40"/>
        <v>1</v>
      </c>
      <c r="BK36">
        <f t="shared" si="41"/>
        <v>1</v>
      </c>
      <c r="BL36">
        <f t="shared" si="42"/>
        <v>1</v>
      </c>
      <c r="BM36">
        <f t="shared" si="43"/>
        <v>1</v>
      </c>
      <c r="BN36">
        <f t="shared" si="44"/>
        <v>1</v>
      </c>
      <c r="BO36">
        <f t="shared" si="45"/>
        <v>1</v>
      </c>
      <c r="BP36">
        <f t="shared" si="46"/>
        <v>1</v>
      </c>
      <c r="BQ36">
        <f t="shared" si="47"/>
        <v>1</v>
      </c>
      <c r="BR36">
        <f t="shared" si="48"/>
        <v>1</v>
      </c>
      <c r="BS36">
        <f t="shared" si="49"/>
        <v>1</v>
      </c>
      <c r="BT36">
        <f t="shared" si="50"/>
        <v>1</v>
      </c>
    </row>
    <row r="37" spans="1:72" ht="14.25" customHeight="1" x14ac:dyDescent="0.3">
      <c r="A37" s="23">
        <v>3</v>
      </c>
      <c r="B37" s="24" t="s">
        <v>113</v>
      </c>
      <c r="C37" s="25">
        <v>25001</v>
      </c>
      <c r="D37" s="26">
        <v>21980</v>
      </c>
      <c r="E37" s="26" t="s">
        <v>40</v>
      </c>
      <c r="F37" s="26">
        <v>2071</v>
      </c>
      <c r="G37" s="24" t="s">
        <v>41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42</v>
      </c>
      <c r="W37" s="28">
        <f t="shared" si="11"/>
        <v>69490</v>
      </c>
      <c r="X37" s="28">
        <v>69491</v>
      </c>
      <c r="Y37" s="28" t="s">
        <v>36</v>
      </c>
      <c r="Z37" s="28">
        <f t="shared" ca="1" si="12"/>
        <v>2655.1062000000002</v>
      </c>
      <c r="AA37" s="28"/>
      <c r="AB37" s="28"/>
      <c r="AC37" s="32">
        <f t="shared" si="13"/>
        <v>88242</v>
      </c>
      <c r="AD37" s="32">
        <f t="shared" si="14"/>
        <v>-1</v>
      </c>
      <c r="AE37" s="28" t="str">
        <f t="shared" si="15"/>
        <v>SETTLED</v>
      </c>
      <c r="AF37" s="28" t="s">
        <v>114</v>
      </c>
      <c r="AG37" s="33">
        <v>1800003314</v>
      </c>
      <c r="AH37" s="34" t="s">
        <v>44</v>
      </c>
      <c r="AL37">
        <f t="shared" si="16"/>
        <v>1</v>
      </c>
      <c r="AM37">
        <f t="shared" si="17"/>
        <v>1</v>
      </c>
      <c r="AN37">
        <f t="shared" si="18"/>
        <v>1</v>
      </c>
      <c r="AO37">
        <f t="shared" si="19"/>
        <v>1</v>
      </c>
      <c r="AP37">
        <f t="shared" si="20"/>
        <v>1</v>
      </c>
      <c r="AQ37">
        <f t="shared" si="21"/>
        <v>1</v>
      </c>
      <c r="AR37">
        <f t="shared" si="22"/>
        <v>1</v>
      </c>
      <c r="AS37">
        <f t="shared" si="23"/>
        <v>1</v>
      </c>
      <c r="AT37">
        <f t="shared" si="24"/>
        <v>1</v>
      </c>
      <c r="AU37">
        <f t="shared" si="25"/>
        <v>1</v>
      </c>
      <c r="AV37">
        <f t="shared" si="26"/>
        <v>1</v>
      </c>
      <c r="AW37">
        <f t="shared" si="27"/>
        <v>1</v>
      </c>
      <c r="AX37">
        <f t="shared" si="28"/>
        <v>1</v>
      </c>
      <c r="AY37">
        <f t="shared" si="29"/>
        <v>1</v>
      </c>
      <c r="AZ37">
        <f t="shared" si="30"/>
        <v>1</v>
      </c>
      <c r="BA37">
        <f t="shared" si="31"/>
        <v>1</v>
      </c>
      <c r="BB37">
        <f t="shared" si="32"/>
        <v>1</v>
      </c>
      <c r="BC37">
        <f t="shared" si="33"/>
        <v>1</v>
      </c>
      <c r="BD37">
        <f t="shared" si="34"/>
        <v>1</v>
      </c>
      <c r="BE37">
        <f t="shared" si="35"/>
        <v>1</v>
      </c>
      <c r="BF37">
        <f t="shared" si="36"/>
        <v>1</v>
      </c>
      <c r="BG37">
        <f t="shared" si="37"/>
        <v>1</v>
      </c>
      <c r="BH37">
        <f t="shared" si="38"/>
        <v>1</v>
      </c>
      <c r="BI37">
        <f t="shared" si="39"/>
        <v>1</v>
      </c>
      <c r="BJ37">
        <f t="shared" si="40"/>
        <v>1</v>
      </c>
      <c r="BK37">
        <f t="shared" si="41"/>
        <v>1</v>
      </c>
      <c r="BL37">
        <f t="shared" si="42"/>
        <v>1</v>
      </c>
      <c r="BM37">
        <f t="shared" si="43"/>
        <v>1</v>
      </c>
      <c r="BN37">
        <f t="shared" si="44"/>
        <v>1</v>
      </c>
      <c r="BO37">
        <f t="shared" si="45"/>
        <v>1</v>
      </c>
      <c r="BP37">
        <f t="shared" si="46"/>
        <v>1</v>
      </c>
      <c r="BQ37">
        <f t="shared" si="47"/>
        <v>1</v>
      </c>
      <c r="BR37">
        <f t="shared" si="48"/>
        <v>1</v>
      </c>
      <c r="BS37">
        <f t="shared" si="49"/>
        <v>1</v>
      </c>
      <c r="BT37">
        <f t="shared" si="50"/>
        <v>1</v>
      </c>
    </row>
    <row r="38" spans="1:72" ht="14.25" customHeight="1" x14ac:dyDescent="0.3">
      <c r="A38" s="35">
        <v>3</v>
      </c>
      <c r="B38" s="36" t="s">
        <v>60</v>
      </c>
      <c r="C38" s="37">
        <v>70001</v>
      </c>
      <c r="D38" s="38">
        <v>21980</v>
      </c>
      <c r="E38" s="38" t="s">
        <v>40</v>
      </c>
      <c r="F38" s="38">
        <v>2086</v>
      </c>
      <c r="G38" s="36" t="s">
        <v>115</v>
      </c>
      <c r="H38" s="39">
        <v>210003</v>
      </c>
      <c r="I38" s="39">
        <f t="shared" si="0"/>
        <v>37801</v>
      </c>
      <c r="J38" s="39">
        <f t="shared" si="1"/>
        <v>247804</v>
      </c>
      <c r="K38" s="39">
        <f t="shared" si="2"/>
        <v>4956</v>
      </c>
      <c r="L38" s="40">
        <f t="shared" si="3"/>
        <v>210.00300000000001</v>
      </c>
      <c r="M38" s="40">
        <f t="shared" si="4"/>
        <v>5575.5796499999997</v>
      </c>
      <c r="N38" s="41">
        <f t="shared" si="5"/>
        <v>94.501350000000002</v>
      </c>
      <c r="O38" s="40">
        <f t="shared" si="6"/>
        <v>5481.0782999999992</v>
      </c>
      <c r="P38" s="40">
        <f t="shared" si="7"/>
        <v>5691</v>
      </c>
      <c r="Q38" s="42">
        <v>0</v>
      </c>
      <c r="R38" s="40">
        <f t="shared" si="8"/>
        <v>0</v>
      </c>
      <c r="S38" s="39">
        <f t="shared" si="9"/>
        <v>247069</v>
      </c>
      <c r="T38" s="40">
        <f t="shared" si="10"/>
        <v>52501</v>
      </c>
      <c r="U38" s="43">
        <v>52501</v>
      </c>
      <c r="V38" s="40" t="s">
        <v>59</v>
      </c>
      <c r="W38" s="40">
        <f t="shared" si="11"/>
        <v>194568</v>
      </c>
      <c r="X38" s="40">
        <v>194568</v>
      </c>
      <c r="Y38" s="40" t="s">
        <v>59</v>
      </c>
      <c r="Z38" s="40">
        <f t="shared" ca="1" si="12"/>
        <v>7434.1061999999993</v>
      </c>
      <c r="AA38" s="40"/>
      <c r="AB38" s="40"/>
      <c r="AC38" s="15">
        <f t="shared" si="13"/>
        <v>247069</v>
      </c>
      <c r="AD38" s="19">
        <f t="shared" si="14"/>
        <v>0</v>
      </c>
      <c r="AE38" s="20" t="str">
        <f t="shared" si="15"/>
        <v>SETTLED</v>
      </c>
      <c r="AF38" s="20" t="s">
        <v>116</v>
      </c>
      <c r="AG38" s="21">
        <v>1800003226</v>
      </c>
      <c r="AH38" s="22" t="s">
        <v>117</v>
      </c>
      <c r="AL38">
        <f t="shared" si="16"/>
        <v>1</v>
      </c>
      <c r="AM38">
        <f t="shared" si="17"/>
        <v>1</v>
      </c>
      <c r="AN38">
        <f t="shared" si="18"/>
        <v>1</v>
      </c>
      <c r="AO38">
        <f t="shared" si="19"/>
        <v>1</v>
      </c>
      <c r="AP38">
        <f t="shared" si="20"/>
        <v>1</v>
      </c>
      <c r="AQ38">
        <f t="shared" si="21"/>
        <v>1</v>
      </c>
      <c r="AR38">
        <f t="shared" si="22"/>
        <v>1</v>
      </c>
      <c r="AS38">
        <f t="shared" si="23"/>
        <v>1</v>
      </c>
      <c r="AT38">
        <f t="shared" si="24"/>
        <v>1</v>
      </c>
      <c r="AU38">
        <f t="shared" si="25"/>
        <v>1</v>
      </c>
      <c r="AV38">
        <f t="shared" si="26"/>
        <v>1</v>
      </c>
      <c r="AW38">
        <f t="shared" si="27"/>
        <v>1</v>
      </c>
      <c r="AX38">
        <f t="shared" si="28"/>
        <v>1</v>
      </c>
      <c r="AY38">
        <f t="shared" si="29"/>
        <v>1</v>
      </c>
      <c r="AZ38">
        <f t="shared" si="30"/>
        <v>1</v>
      </c>
      <c r="BA38">
        <f t="shared" si="31"/>
        <v>1</v>
      </c>
      <c r="BB38">
        <f t="shared" si="32"/>
        <v>1</v>
      </c>
      <c r="BC38">
        <f t="shared" si="33"/>
        <v>1</v>
      </c>
      <c r="BD38">
        <f t="shared" si="34"/>
        <v>1</v>
      </c>
      <c r="BE38">
        <f t="shared" si="35"/>
        <v>1</v>
      </c>
      <c r="BF38">
        <f t="shared" si="36"/>
        <v>1</v>
      </c>
      <c r="BG38">
        <f t="shared" si="37"/>
        <v>1</v>
      </c>
      <c r="BH38">
        <f t="shared" si="38"/>
        <v>1</v>
      </c>
      <c r="BI38">
        <f t="shared" si="39"/>
        <v>1</v>
      </c>
      <c r="BJ38">
        <f t="shared" si="40"/>
        <v>1</v>
      </c>
      <c r="BK38">
        <f t="shared" si="41"/>
        <v>1</v>
      </c>
      <c r="BL38">
        <f t="shared" si="42"/>
        <v>1</v>
      </c>
      <c r="BM38">
        <f t="shared" si="43"/>
        <v>1</v>
      </c>
      <c r="BN38">
        <f t="shared" si="44"/>
        <v>1</v>
      </c>
      <c r="BO38">
        <f t="shared" si="45"/>
        <v>1</v>
      </c>
      <c r="BP38">
        <f t="shared" si="46"/>
        <v>1</v>
      </c>
      <c r="BQ38">
        <f t="shared" si="47"/>
        <v>1</v>
      </c>
      <c r="BR38">
        <f t="shared" si="48"/>
        <v>1</v>
      </c>
      <c r="BS38">
        <f t="shared" si="49"/>
        <v>1</v>
      </c>
      <c r="BT38">
        <f t="shared" si="50"/>
        <v>1</v>
      </c>
    </row>
    <row r="39" spans="1:72" ht="14.25" customHeight="1" x14ac:dyDescent="0.3">
      <c r="A39" s="23">
        <v>2</v>
      </c>
      <c r="B39" s="24" t="s">
        <v>118</v>
      </c>
      <c r="C39" s="25">
        <v>15006</v>
      </c>
      <c r="D39" s="26">
        <v>21980</v>
      </c>
      <c r="E39" s="26" t="s">
        <v>40</v>
      </c>
      <c r="F39" s="26">
        <v>2089</v>
      </c>
      <c r="G39" s="24" t="s">
        <v>119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54</v>
      </c>
      <c r="W39" s="28">
        <f t="shared" si="11"/>
        <v>27806</v>
      </c>
      <c r="X39" s="28">
        <v>27806</v>
      </c>
      <c r="Y39" s="28" t="s">
        <v>120</v>
      </c>
      <c r="Z39" s="28">
        <f t="shared" ca="1" si="12"/>
        <v>708.28319999999997</v>
      </c>
      <c r="AA39" s="28">
        <v>708</v>
      </c>
      <c r="AB39" s="28" t="s">
        <v>120</v>
      </c>
      <c r="AC39" s="32">
        <f t="shared" si="13"/>
        <v>36017</v>
      </c>
      <c r="AD39" s="32">
        <f t="shared" si="14"/>
        <v>-708</v>
      </c>
      <c r="AE39" s="28" t="str">
        <f t="shared" si="15"/>
        <v>SETTLED</v>
      </c>
      <c r="AF39" s="28"/>
      <c r="AG39" s="33"/>
      <c r="AH39" s="34"/>
      <c r="AL39">
        <f t="shared" si="16"/>
        <v>1</v>
      </c>
      <c r="AM39">
        <f t="shared" si="17"/>
        <v>1</v>
      </c>
      <c r="AN39">
        <f t="shared" si="18"/>
        <v>1</v>
      </c>
      <c r="AO39">
        <f t="shared" si="19"/>
        <v>1</v>
      </c>
      <c r="AP39">
        <f t="shared" si="20"/>
        <v>1</v>
      </c>
      <c r="AQ39">
        <f t="shared" si="21"/>
        <v>1</v>
      </c>
      <c r="AR39">
        <f t="shared" si="22"/>
        <v>1</v>
      </c>
      <c r="AS39">
        <f t="shared" si="23"/>
        <v>1</v>
      </c>
      <c r="AT39">
        <f t="shared" si="24"/>
        <v>1</v>
      </c>
      <c r="AU39">
        <f t="shared" si="25"/>
        <v>1</v>
      </c>
      <c r="AV39">
        <f t="shared" si="26"/>
        <v>1</v>
      </c>
      <c r="AW39">
        <f t="shared" si="27"/>
        <v>1</v>
      </c>
      <c r="AX39">
        <f t="shared" si="28"/>
        <v>1</v>
      </c>
      <c r="AY39">
        <f t="shared" si="29"/>
        <v>1</v>
      </c>
      <c r="AZ39">
        <f t="shared" si="30"/>
        <v>1</v>
      </c>
      <c r="BA39">
        <f t="shared" si="31"/>
        <v>1</v>
      </c>
      <c r="BB39">
        <f t="shared" si="32"/>
        <v>1</v>
      </c>
      <c r="BC39">
        <f t="shared" si="33"/>
        <v>1</v>
      </c>
      <c r="BD39">
        <f t="shared" si="34"/>
        <v>1</v>
      </c>
      <c r="BE39">
        <f t="shared" si="35"/>
        <v>1</v>
      </c>
      <c r="BF39">
        <f t="shared" si="36"/>
        <v>1</v>
      </c>
      <c r="BG39">
        <f t="shared" si="37"/>
        <v>1</v>
      </c>
      <c r="BH39">
        <f t="shared" si="38"/>
        <v>1</v>
      </c>
      <c r="BI39">
        <f t="shared" si="39"/>
        <v>1</v>
      </c>
      <c r="BJ39">
        <f t="shared" si="40"/>
        <v>1</v>
      </c>
      <c r="BK39">
        <f t="shared" si="41"/>
        <v>1</v>
      </c>
      <c r="BL39">
        <f t="shared" si="42"/>
        <v>1</v>
      </c>
      <c r="BM39">
        <f t="shared" si="43"/>
        <v>1</v>
      </c>
      <c r="BN39">
        <f t="shared" si="44"/>
        <v>1</v>
      </c>
      <c r="BO39">
        <f t="shared" si="45"/>
        <v>1</v>
      </c>
      <c r="BP39">
        <f t="shared" si="46"/>
        <v>1</v>
      </c>
      <c r="BQ39">
        <f t="shared" si="47"/>
        <v>1</v>
      </c>
      <c r="BR39">
        <f t="shared" si="48"/>
        <v>1</v>
      </c>
      <c r="BS39">
        <f t="shared" si="49"/>
        <v>1</v>
      </c>
      <c r="BT39">
        <f t="shared" si="50"/>
        <v>1</v>
      </c>
    </row>
    <row r="40" spans="1:72" ht="15" customHeight="1" thickBot="1" x14ac:dyDescent="0.35">
      <c r="A40" s="44">
        <v>3</v>
      </c>
      <c r="B40" s="45" t="s">
        <v>60</v>
      </c>
      <c r="C40" s="46">
        <v>40003</v>
      </c>
      <c r="D40" s="47">
        <v>21980</v>
      </c>
      <c r="E40" s="47" t="s">
        <v>40</v>
      </c>
      <c r="F40" s="47">
        <v>2091</v>
      </c>
      <c r="G40" s="45" t="s">
        <v>119</v>
      </c>
      <c r="H40" s="48">
        <v>120009</v>
      </c>
      <c r="I40" s="48">
        <f t="shared" si="0"/>
        <v>21602</v>
      </c>
      <c r="J40" s="48">
        <f t="shared" si="1"/>
        <v>141611</v>
      </c>
      <c r="K40" s="48">
        <f t="shared" si="2"/>
        <v>2832</v>
      </c>
      <c r="L40" s="49">
        <f t="shared" si="3"/>
        <v>120.009</v>
      </c>
      <c r="M40" s="49">
        <f t="shared" si="4"/>
        <v>3186.2389499999995</v>
      </c>
      <c r="N40" s="50">
        <f t="shared" si="5"/>
        <v>54.004049999999999</v>
      </c>
      <c r="O40" s="49">
        <f t="shared" si="6"/>
        <v>3132.2348999999995</v>
      </c>
      <c r="P40" s="49">
        <f t="shared" si="7"/>
        <v>3252</v>
      </c>
      <c r="Q40" s="51">
        <v>0</v>
      </c>
      <c r="R40" s="49">
        <f t="shared" si="8"/>
        <v>0</v>
      </c>
      <c r="S40" s="48">
        <f t="shared" si="9"/>
        <v>141191</v>
      </c>
      <c r="T40" s="49">
        <f t="shared" si="10"/>
        <v>30002</v>
      </c>
      <c r="U40" s="52">
        <v>30002</v>
      </c>
      <c r="V40" s="49" t="s">
        <v>54</v>
      </c>
      <c r="W40" s="49">
        <f t="shared" si="11"/>
        <v>111188</v>
      </c>
      <c r="X40" s="49">
        <v>111189</v>
      </c>
      <c r="Y40" s="49" t="s">
        <v>120</v>
      </c>
      <c r="Z40" s="49">
        <f t="shared" ca="1" si="12"/>
        <v>2832.2123999999999</v>
      </c>
      <c r="AA40" s="49">
        <v>2832</v>
      </c>
      <c r="AB40" s="49" t="s">
        <v>120</v>
      </c>
      <c r="AC40" s="15">
        <f t="shared" si="13"/>
        <v>144023</v>
      </c>
      <c r="AD40" s="19">
        <f t="shared" si="14"/>
        <v>-2832</v>
      </c>
      <c r="AE40" s="20" t="str">
        <f t="shared" si="15"/>
        <v>SETTLED</v>
      </c>
      <c r="AF40" s="20"/>
      <c r="AG40" s="21"/>
      <c r="AH40" s="22"/>
      <c r="AL40">
        <f t="shared" si="16"/>
        <v>1</v>
      </c>
      <c r="AM40">
        <f t="shared" si="17"/>
        <v>1</v>
      </c>
      <c r="AN40">
        <f t="shared" si="18"/>
        <v>1</v>
      </c>
      <c r="AO40">
        <f t="shared" si="19"/>
        <v>1</v>
      </c>
      <c r="AP40">
        <f t="shared" si="20"/>
        <v>1</v>
      </c>
      <c r="AQ40">
        <f t="shared" si="21"/>
        <v>1</v>
      </c>
      <c r="AR40">
        <f t="shared" si="22"/>
        <v>1</v>
      </c>
      <c r="AS40">
        <f t="shared" si="23"/>
        <v>1</v>
      </c>
      <c r="AT40">
        <f t="shared" si="24"/>
        <v>1</v>
      </c>
      <c r="AU40">
        <f t="shared" si="25"/>
        <v>1</v>
      </c>
      <c r="AV40">
        <f t="shared" si="26"/>
        <v>1</v>
      </c>
      <c r="AW40">
        <f t="shared" si="27"/>
        <v>1</v>
      </c>
      <c r="AX40">
        <f t="shared" si="28"/>
        <v>1</v>
      </c>
      <c r="AY40">
        <f t="shared" si="29"/>
        <v>1</v>
      </c>
      <c r="AZ40">
        <f t="shared" si="30"/>
        <v>1</v>
      </c>
      <c r="BA40">
        <f t="shared" si="31"/>
        <v>1</v>
      </c>
      <c r="BB40">
        <f t="shared" si="32"/>
        <v>1</v>
      </c>
      <c r="BC40">
        <f t="shared" si="33"/>
        <v>1</v>
      </c>
      <c r="BD40">
        <f t="shared" si="34"/>
        <v>1</v>
      </c>
      <c r="BE40">
        <f t="shared" si="35"/>
        <v>1</v>
      </c>
      <c r="BF40">
        <f t="shared" si="36"/>
        <v>1</v>
      </c>
      <c r="BG40">
        <f t="shared" si="37"/>
        <v>1</v>
      </c>
      <c r="BH40">
        <f t="shared" si="38"/>
        <v>1</v>
      </c>
      <c r="BI40">
        <f t="shared" si="39"/>
        <v>1</v>
      </c>
      <c r="BJ40">
        <f t="shared" si="40"/>
        <v>1</v>
      </c>
      <c r="BK40">
        <f t="shared" si="41"/>
        <v>1</v>
      </c>
      <c r="BL40">
        <f t="shared" si="42"/>
        <v>1</v>
      </c>
      <c r="BM40">
        <f t="shared" si="43"/>
        <v>1</v>
      </c>
      <c r="BN40">
        <f t="shared" si="44"/>
        <v>1</v>
      </c>
      <c r="BO40">
        <f t="shared" si="45"/>
        <v>1</v>
      </c>
      <c r="BP40">
        <f t="shared" si="46"/>
        <v>1</v>
      </c>
      <c r="BQ40">
        <f t="shared" si="47"/>
        <v>1</v>
      </c>
      <c r="BR40">
        <f t="shared" si="48"/>
        <v>1</v>
      </c>
      <c r="BS40">
        <f t="shared" si="49"/>
        <v>1</v>
      </c>
      <c r="BT40">
        <f t="shared" si="50"/>
        <v>1</v>
      </c>
    </row>
    <row r="41" spans="1:72" ht="14.25" customHeight="1" x14ac:dyDescent="0.3">
      <c r="A41" s="53"/>
      <c r="B41" s="54"/>
      <c r="C41" s="54"/>
      <c r="D41" s="54"/>
      <c r="E41" s="54"/>
      <c r="F41" s="54"/>
      <c r="G41" s="54"/>
      <c r="H41" s="55">
        <f t="shared" ref="H41:P41" si="51">SUM(H4:H40)</f>
        <v>15130598</v>
      </c>
      <c r="I41" s="55">
        <f t="shared" si="51"/>
        <v>2723508</v>
      </c>
      <c r="J41" s="55">
        <f t="shared" si="51"/>
        <v>17854106</v>
      </c>
      <c r="K41" s="55">
        <f t="shared" si="51"/>
        <v>357082</v>
      </c>
      <c r="L41" s="55">
        <f t="shared" si="51"/>
        <v>15130.598000000002</v>
      </c>
      <c r="M41" s="55">
        <f t="shared" si="51"/>
        <v>401717.37689999992</v>
      </c>
      <c r="N41" s="55">
        <f t="shared" si="51"/>
        <v>6808.7690999999977</v>
      </c>
      <c r="O41" s="55">
        <f t="shared" si="51"/>
        <v>394908.6078</v>
      </c>
      <c r="P41" s="55">
        <f t="shared" si="51"/>
        <v>410039</v>
      </c>
      <c r="Q41" s="56"/>
      <c r="R41" s="56">
        <f>SUM(R4:R40)</f>
        <v>83029</v>
      </c>
      <c r="S41" s="55">
        <f>SUM(S4:S40)</f>
        <v>17718123</v>
      </c>
      <c r="T41" s="55">
        <f>SUM(T4:T40)</f>
        <v>3782654</v>
      </c>
      <c r="U41" s="55">
        <f>SUM(U4:U40)</f>
        <v>3782654</v>
      </c>
      <c r="V41" s="56"/>
      <c r="W41" s="55">
        <f>SUM(W4:W40)</f>
        <v>13935473</v>
      </c>
      <c r="X41" s="55">
        <f>SUM(X4:X40)</f>
        <v>13137293</v>
      </c>
      <c r="Y41" s="56"/>
      <c r="Z41" s="56">
        <f ca="1">SUM(Z4:Z40)</f>
        <v>533852.92139999988</v>
      </c>
      <c r="AA41" s="56">
        <f>SUM(AA4:AA40)</f>
        <v>3540</v>
      </c>
      <c r="AB41" s="56"/>
      <c r="AC41" s="56">
        <f>SUM(AC4:AC40)</f>
        <v>16923487</v>
      </c>
      <c r="AD41" s="55">
        <f>SUM(AD4:AD40)</f>
        <v>794636.00000000047</v>
      </c>
      <c r="AE41" s="55" t="str">
        <f t="shared" si="15"/>
        <v>OUTSTANDING</v>
      </c>
      <c r="AF41" s="54"/>
      <c r="AG41" s="54"/>
      <c r="AH41" s="57"/>
    </row>
    <row r="42" spans="1:72" ht="15" customHeight="1" thickBot="1" x14ac:dyDescent="0.35">
      <c r="A42" s="58"/>
      <c r="B42" s="59"/>
      <c r="C42" s="59"/>
      <c r="D42" s="59"/>
      <c r="E42" s="59"/>
      <c r="F42" s="59"/>
      <c r="G42" s="59"/>
      <c r="H42" s="60">
        <f>+H41</f>
        <v>15130598</v>
      </c>
      <c r="I42" s="60">
        <f>ROUND(H42*18%,0)</f>
        <v>2723508</v>
      </c>
      <c r="J42" s="60">
        <f>+H42+I42</f>
        <v>17854106</v>
      </c>
      <c r="K42" s="60">
        <f>ROUND((H42+I42)*2%,0)</f>
        <v>357082</v>
      </c>
      <c r="L42" s="61">
        <f>ROUND(H42*0.1%,0)</f>
        <v>15131</v>
      </c>
      <c r="M42" s="61">
        <f>ROUND(H42*2.25%*118%,0)</f>
        <v>401717</v>
      </c>
      <c r="N42" s="62">
        <f>ROUND(H42*2.25%*2%,0)</f>
        <v>6809</v>
      </c>
      <c r="O42" s="61">
        <f>ROUND(M42-N42,0)</f>
        <v>394908</v>
      </c>
      <c r="P42" s="61">
        <f>ROUND(O42+L42,0)</f>
        <v>410039</v>
      </c>
      <c r="Q42" s="61"/>
      <c r="R42" s="61">
        <f>+R41</f>
        <v>83029</v>
      </c>
      <c r="S42" s="60">
        <f>H42*117.65%-R42</f>
        <v>17718119.547000002</v>
      </c>
      <c r="T42" s="63"/>
      <c r="U42" s="63">
        <f>+T41-U41</f>
        <v>0</v>
      </c>
      <c r="V42" s="64"/>
      <c r="W42" s="65"/>
      <c r="X42" s="65">
        <f>+W41-X41</f>
        <v>798180</v>
      </c>
      <c r="Y42" s="64"/>
      <c r="Z42" s="64"/>
      <c r="AA42" s="64"/>
      <c r="AB42" s="64"/>
      <c r="AC42" s="64"/>
      <c r="AD42" s="64"/>
      <c r="AE42" s="59"/>
      <c r="AF42" s="59"/>
      <c r="AG42" s="59"/>
      <c r="AH42" s="66"/>
    </row>
    <row r="43" spans="1:72" ht="14.25" customHeight="1" x14ac:dyDescent="0.3">
      <c r="I43" s="67"/>
      <c r="J43" s="67"/>
      <c r="U43" s="69" t="s">
        <v>121</v>
      </c>
      <c r="X43" s="71" t="s">
        <v>122</v>
      </c>
    </row>
    <row r="44" spans="1:72" ht="14.25" customHeight="1" x14ac:dyDescent="0.3">
      <c r="U44" s="72"/>
    </row>
    <row r="46" spans="1:72" ht="14.25" customHeight="1" x14ac:dyDescent="0.3">
      <c r="K46" s="67"/>
    </row>
  </sheetData>
  <autoFilter ref="A3:AH43" xr:uid="{00000000-0009-0000-0000-000000000000}">
    <sortState xmlns:xlrd2="http://schemas.microsoft.com/office/spreadsheetml/2017/richdata2" ref="A4:AG43">
      <sortCondition ref="A4:A43"/>
    </sortState>
  </autoFilter>
  <conditionalFormatting sqref="A4:AH40">
    <cfRule type="expression" dxfId="37" priority="1">
      <formula>AND(COUNTIF($A$2:$AH$2,"&lt;&gt;")&gt;0,$BT4=0)</formula>
    </cfRule>
  </conditionalFormatting>
  <conditionalFormatting sqref="A4:A40">
    <cfRule type="expression" dxfId="36" priority="2">
      <formula>AND($A$2&lt;&gt;"",$AL4=1)</formula>
    </cfRule>
  </conditionalFormatting>
  <conditionalFormatting sqref="B4:B40">
    <cfRule type="expression" dxfId="35" priority="3">
      <formula>AND($B$2&lt;&gt;"",$AM4=1)</formula>
    </cfRule>
  </conditionalFormatting>
  <conditionalFormatting sqref="C4:C40">
    <cfRule type="expression" dxfId="34" priority="4">
      <formula>AND($C$2&lt;&gt;"",$AN4=1)</formula>
    </cfRule>
  </conditionalFormatting>
  <conditionalFormatting sqref="D4:D40">
    <cfRule type="expression" dxfId="33" priority="5">
      <formula>AND($D$2&lt;&gt;"",$AO4=1)</formula>
    </cfRule>
  </conditionalFormatting>
  <conditionalFormatting sqref="E4:E40">
    <cfRule type="expression" dxfId="32" priority="6">
      <formula>AND($E$2&lt;&gt;"",$AP4=1)</formula>
    </cfRule>
  </conditionalFormatting>
  <conditionalFormatting sqref="F4:F40">
    <cfRule type="expression" dxfId="31" priority="7">
      <formula>AND($F$2&lt;&gt;"",$AQ4=1)</formula>
    </cfRule>
  </conditionalFormatting>
  <conditionalFormatting sqref="G4:G40">
    <cfRule type="expression" dxfId="30" priority="8">
      <formula>AND($G$2&lt;&gt;"",$AR4=1)</formula>
    </cfRule>
  </conditionalFormatting>
  <conditionalFormatting sqref="H4:H40">
    <cfRule type="expression" dxfId="29" priority="9">
      <formula>AND($H$2&lt;&gt;"",$AS4=1)</formula>
    </cfRule>
  </conditionalFormatting>
  <conditionalFormatting sqref="I4:I40">
    <cfRule type="expression" dxfId="28" priority="10">
      <formula>AND($I$2&lt;&gt;"",$AT4=1)</formula>
    </cfRule>
  </conditionalFormatting>
  <conditionalFormatting sqref="J4:J40">
    <cfRule type="expression" dxfId="27" priority="11">
      <formula>AND($J$2&lt;&gt;"",$AU4=1)</formula>
    </cfRule>
  </conditionalFormatting>
  <conditionalFormatting sqref="K4:K40">
    <cfRule type="expression" dxfId="26" priority="12">
      <formula>AND($K$2&lt;&gt;"",$AV4=1)</formula>
    </cfRule>
  </conditionalFormatting>
  <conditionalFormatting sqref="L4:L40">
    <cfRule type="expression" dxfId="25" priority="13">
      <formula>AND($L$2&lt;&gt;"",$AW4=1)</formula>
    </cfRule>
  </conditionalFormatting>
  <conditionalFormatting sqref="M4:M40">
    <cfRule type="expression" dxfId="24" priority="14">
      <formula>AND($M$2&lt;&gt;"",$AX4=1)</formula>
    </cfRule>
  </conditionalFormatting>
  <conditionalFormatting sqref="N4:N40">
    <cfRule type="expression" dxfId="23" priority="15">
      <formula>AND($N$2&lt;&gt;"",$AY4=1)</formula>
    </cfRule>
  </conditionalFormatting>
  <conditionalFormatting sqref="O4:O40">
    <cfRule type="expression" dxfId="22" priority="16">
      <formula>AND($O$2&lt;&gt;"",$AZ4=1)</formula>
    </cfRule>
  </conditionalFormatting>
  <conditionalFormatting sqref="P4:P40">
    <cfRule type="expression" dxfId="21" priority="17">
      <formula>AND($P$2&lt;&gt;"",$BA4=1)</formula>
    </cfRule>
  </conditionalFormatting>
  <conditionalFormatting sqref="Q4:Q40">
    <cfRule type="expression" dxfId="20" priority="18">
      <formula>AND($Q$2&lt;&gt;"",$BB4=1)</formula>
    </cfRule>
  </conditionalFormatting>
  <conditionalFormatting sqref="R4:R40">
    <cfRule type="expression" dxfId="19" priority="19">
      <formula>AND($R$2&lt;&gt;"",$BC4=1)</formula>
    </cfRule>
  </conditionalFormatting>
  <conditionalFormatting sqref="S4:S40">
    <cfRule type="expression" dxfId="18" priority="20">
      <formula>AND($S$2&lt;&gt;"",$BD4=1)</formula>
    </cfRule>
  </conditionalFormatting>
  <conditionalFormatting sqref="T4:T40">
    <cfRule type="expression" dxfId="17" priority="21">
      <formula>AND($T$2&lt;&gt;"",$BE4=1)</formula>
    </cfRule>
  </conditionalFormatting>
  <conditionalFormatting sqref="U4:U40">
    <cfRule type="expression" dxfId="16" priority="22">
      <formula>AND($U$2&lt;&gt;"",$BF4=1)</formula>
    </cfRule>
  </conditionalFormatting>
  <conditionalFormatting sqref="V4:V40">
    <cfRule type="expression" dxfId="15" priority="23">
      <formula>AND($V$2&lt;&gt;"",$BG4=1)</formula>
    </cfRule>
  </conditionalFormatting>
  <conditionalFormatting sqref="W4:W40">
    <cfRule type="expression" dxfId="14" priority="24">
      <formula>AND($W$2&lt;&gt;"",$BH4=1)</formula>
    </cfRule>
  </conditionalFormatting>
  <conditionalFormatting sqref="X4:X40">
    <cfRule type="expression" dxfId="13" priority="25">
      <formula>AND($X$2&lt;&gt;"",$BI4=1)</formula>
    </cfRule>
  </conditionalFormatting>
  <conditionalFormatting sqref="Y4:Y40">
    <cfRule type="expression" dxfId="12" priority="26">
      <formula>AND($Y$2&lt;&gt;"",$BJ4=1)</formula>
    </cfRule>
  </conditionalFormatting>
  <conditionalFormatting sqref="Z4:Z40">
    <cfRule type="expression" dxfId="11" priority="27">
      <formula>AND($Z$2&lt;&gt;"",$BK4=1)</formula>
    </cfRule>
  </conditionalFormatting>
  <conditionalFormatting sqref="AA4:AA40">
    <cfRule type="expression" dxfId="10" priority="28">
      <formula>AND($AA$2&lt;&gt;"",$BL4=1)</formula>
    </cfRule>
  </conditionalFormatting>
  <conditionalFormatting sqref="AB4:AB40">
    <cfRule type="expression" dxfId="9" priority="29">
      <formula>AND($AB$2&lt;&gt;"",$BM4=1)</formula>
    </cfRule>
  </conditionalFormatting>
  <conditionalFormatting sqref="AC4:AC40">
    <cfRule type="expression" dxfId="8" priority="30">
      <formula>AND($AC$2&lt;&gt;"",$BN4=1)</formula>
    </cfRule>
  </conditionalFormatting>
  <conditionalFormatting sqref="AD4:AD40">
    <cfRule type="expression" dxfId="7" priority="31">
      <formula>AND($AD$2&lt;&gt;"",$BO4=1)</formula>
    </cfRule>
  </conditionalFormatting>
  <conditionalFormatting sqref="AE4:AE40">
    <cfRule type="expression" dxfId="6" priority="32">
      <formula>AND($AE$2&lt;&gt;"",$BP4=1)</formula>
    </cfRule>
  </conditionalFormatting>
  <conditionalFormatting sqref="AF4:AF40">
    <cfRule type="expression" dxfId="5" priority="33">
      <formula>AND($AF$2&lt;&gt;"",$BQ4=1)</formula>
    </cfRule>
  </conditionalFormatting>
  <conditionalFormatting sqref="AG4:AG40">
    <cfRule type="expression" dxfId="4" priority="34">
      <formula>AND($AG$2&lt;&gt;"",$BR4=1)</formula>
    </cfRule>
  </conditionalFormatting>
  <conditionalFormatting sqref="AH4:AH40">
    <cfRule type="expression" dxfId="3" priority="35">
      <formula>AND($AH$2&lt;&gt;"",$BS4=1)</formula>
    </cfRule>
  </conditionalFormatting>
  <conditionalFormatting sqref="AE4:AE41">
    <cfRule type="cellIs" dxfId="2" priority="36" operator="equal">
      <formula>"SETTLED"</formula>
    </cfRule>
    <cfRule type="cellIs" dxfId="1" priority="37" operator="equal">
      <formula>"OUTSTANDING"</formula>
    </cfRule>
  </conditionalFormatting>
  <conditionalFormatting sqref="AD4:AD41">
    <cfRule type="cellIs" dxfId="0" priority="38" operator="greaterThan">
      <formula>5</formula>
    </cfRule>
  </conditionalFormatting>
  <dataValidations count="34">
    <dataValidation type="list" sqref="AH2" xr:uid="{6B526421-34FE-460C-884F-45C77AF16446}">
      <formula1>SUGF_AH</formula1>
      <formula2>0</formula2>
    </dataValidation>
    <dataValidation type="list" sqref="AG2" xr:uid="{17D6F758-4F9A-4F92-AADE-6DD0C5912075}">
      <formula1>SUGF_AG</formula1>
      <formula2>0</formula2>
    </dataValidation>
    <dataValidation type="list" sqref="AF2" xr:uid="{364B28C2-CDDD-4987-9F94-8F848578749B}">
      <formula1>SUGF_AF</formula1>
      <formula2>0</formula2>
    </dataValidation>
    <dataValidation type="list" sqref="AE2" xr:uid="{516FF7B9-0CB3-40ED-A105-28885C03FC43}">
      <formula1>SUGF_AE</formula1>
      <formula2>0</formula2>
    </dataValidation>
    <dataValidation type="list" sqref="AD2" xr:uid="{28604361-3AAF-45D0-8CCB-AC803441DB3F}">
      <formula1>SUGF_AD</formula1>
      <formula2>0</formula2>
    </dataValidation>
    <dataValidation type="list" sqref="AC2" xr:uid="{6EEA3102-157D-4EA9-A66A-6FB0A905835F}">
      <formula1>SUGF_AC</formula1>
      <formula2>0</formula2>
    </dataValidation>
    <dataValidation type="list" sqref="AB2" xr:uid="{9730F770-6B57-46FB-9982-EA9B32FBBDB2}">
      <formula1>SUGF_AB</formula1>
      <formula2>0</formula2>
    </dataValidation>
    <dataValidation type="list" sqref="AA2" xr:uid="{2ECAAD07-19EF-46F0-9BC2-E26D4A772571}">
      <formula1>SUGF_AA</formula1>
      <formula2>0</formula2>
    </dataValidation>
    <dataValidation type="list" sqref="Z2" xr:uid="{2BDA9A62-EDCA-4E79-BBAE-763D48B7007E}">
      <formula1>SUGF_Z</formula1>
      <formula2>0</formula2>
    </dataValidation>
    <dataValidation type="list" sqref="Y2" xr:uid="{F7B65F61-EB21-4EE2-AD44-9F73FC09C405}">
      <formula1>SUGF_Y</formula1>
      <formula2>0</formula2>
    </dataValidation>
    <dataValidation type="list" sqref="X2" xr:uid="{30BAE697-E2AD-4D59-8E8D-BF4DB594D1F5}">
      <formula1>SUGF_X</formula1>
      <formula2>0</formula2>
    </dataValidation>
    <dataValidation type="list" sqref="W2" xr:uid="{53C9BBE9-6793-4EA2-B602-9F3A993FB695}">
      <formula1>SUGF_W</formula1>
      <formula2>0</formula2>
    </dataValidation>
    <dataValidation type="list" sqref="V2" xr:uid="{54B142E0-CDDF-44BD-B376-600D395E6F7B}">
      <formula1>SUGF_V</formula1>
      <formula2>0</formula2>
    </dataValidation>
    <dataValidation type="list" sqref="U2" xr:uid="{8BC4189E-AB53-40ED-A89D-1C56F3E649A9}">
      <formula1>SUGF_U</formula1>
      <formula2>0</formula2>
    </dataValidation>
    <dataValidation type="list" sqref="T2" xr:uid="{E75D40E6-906C-40D2-A16D-3D78B58DD06E}">
      <formula1>SUGF_T</formula1>
      <formula2>0</formula2>
    </dataValidation>
    <dataValidation type="list" sqref="S2" xr:uid="{FD0BDDB1-2385-4B34-8ECB-343C57F49EE3}">
      <formula1>SUGF_S</formula1>
      <formula2>0</formula2>
    </dataValidation>
    <dataValidation type="list" sqref="R2" xr:uid="{39562021-048C-4D68-A708-82CB5FB4D74A}">
      <formula1>SUGF_R</formula1>
      <formula2>0</formula2>
    </dataValidation>
    <dataValidation type="list" sqref="Q2" xr:uid="{DAFB57AA-7BD6-4EA6-9AB3-2C010286EC50}">
      <formula1>SUGF_Q</formula1>
      <formula2>0</formula2>
    </dataValidation>
    <dataValidation type="list" sqref="P2" xr:uid="{14E4EFB5-CF9E-447B-B828-1F8DFD1D34E3}">
      <formula1>SUGF_P</formula1>
      <formula2>0</formula2>
    </dataValidation>
    <dataValidation type="list" sqref="O2" xr:uid="{CC3AC283-CC7F-4080-ACCB-A61852AA0436}">
      <formula1>SUGF_O</formula1>
      <formula2>0</formula2>
    </dataValidation>
    <dataValidation type="list" sqref="N2" xr:uid="{5684EF30-5D98-4DFB-9F0C-B9399038EE6A}">
      <formula1>SUGF_N</formula1>
      <formula2>0</formula2>
    </dataValidation>
    <dataValidation type="list" sqref="M2" xr:uid="{CA2BD471-4EFE-43AA-ABC7-5DFE36B37659}">
      <formula1>SUGF_M</formula1>
      <formula2>0</formula2>
    </dataValidation>
    <dataValidation type="list" sqref="L2" xr:uid="{B99F67FA-A718-47ED-AA2F-B3DE62F75DBA}">
      <formula1>SUGF_L</formula1>
      <formula2>0</formula2>
    </dataValidation>
    <dataValidation type="list" sqref="K2" xr:uid="{203EDDC8-9435-4137-8ED3-4B40ABBD5BCF}">
      <formula1>SUGF_K</formula1>
      <formula2>0</formula2>
    </dataValidation>
    <dataValidation type="list" sqref="J2" xr:uid="{C61B76EE-BFEA-401B-A205-C0298AA667FF}">
      <formula1>SUGF_J</formula1>
      <formula2>0</formula2>
    </dataValidation>
    <dataValidation type="list" sqref="I2" xr:uid="{93DE3B8E-1728-42B5-8556-B7AA8F61D6DA}">
      <formula1>SUGF_I</formula1>
      <formula2>0</formula2>
    </dataValidation>
    <dataValidation type="list" sqref="H2" xr:uid="{8B844360-8C1B-4D4E-9328-900EE594A008}">
      <formula1>SUGF_H</formula1>
      <formula2>0</formula2>
    </dataValidation>
    <dataValidation type="list" sqref="G2" xr:uid="{3D60A5A8-ED6D-486A-A4B9-377468192B56}">
      <formula1>SUGF_G</formula1>
      <formula2>0</formula2>
    </dataValidation>
    <dataValidation type="list" sqref="F2" xr:uid="{03B506E4-988D-4096-A8E3-B6D0E8860F73}">
      <formula1>SUGF_F</formula1>
      <formula2>0</formula2>
    </dataValidation>
    <dataValidation type="list" sqref="E2" xr:uid="{21778F02-C179-496A-8046-CD308735F9D8}">
      <formula1>SUGF_E</formula1>
      <formula2>0</formula2>
    </dataValidation>
    <dataValidation type="list" sqref="D2" xr:uid="{A5C44274-0042-4BFB-8FBE-396F24A10299}">
      <formula1>SUGF_D</formula1>
      <formula2>0</formula2>
    </dataValidation>
    <dataValidation type="list" sqref="C2" xr:uid="{738C0B3B-ED36-427A-8C68-F9427D47B4EE}">
      <formula1>SUGF_C</formula1>
      <formula2>0</formula2>
    </dataValidation>
    <dataValidation type="list" sqref="B2" xr:uid="{E937C6A2-B537-487E-80B5-2254C69F78ED}">
      <formula1>SUGF_B</formula1>
      <formula2>0</formula2>
    </dataValidation>
    <dataValidation type="list" sqref="A2" xr:uid="{A32BE9C8-1FBC-4304-8EEA-26609C92BE09}">
      <formula1>SUGF_A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Calculation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Prakash Dhabekar</dc:creator>
  <cp:lastModifiedBy>Piyush Prakash Dhabekar</cp:lastModifiedBy>
  <dcterms:created xsi:type="dcterms:W3CDTF">2026-09-12T14:47:15Z</dcterms:created>
  <dcterms:modified xsi:type="dcterms:W3CDTF">2026-09-12T14:47:44Z</dcterms:modified>
</cp:coreProperties>
</file>