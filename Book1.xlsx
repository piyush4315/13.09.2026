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iyus\Downloads\"/>
    </mc:Choice>
  </mc:AlternateContent>
  <xr:revisionPtr revIDLastSave="0" documentId="13_ncr:1_{6B59FA81-D76F-4380-B69D-A5783E661955}" xr6:coauthVersionLast="47" xr6:coauthVersionMax="47" xr10:uidLastSave="{00000000-0000-0000-0000-000000000000}"/>
  <bookViews>
    <workbookView xWindow="-108" yWindow="-108" windowWidth="23256" windowHeight="12576" xr2:uid="{35644710-D447-42EA-B70A-B0763CACB962}"/>
  </bookViews>
  <sheets>
    <sheet name="Final Calculation Sheet" sheetId="1" r:id="rId1"/>
  </sheets>
  <externalReferences>
    <externalReference r:id="rId2"/>
  </externalReferences>
  <definedNames>
    <definedName name="_xlnm._FilterDatabase" localSheetId="0" hidden="1">'Final Calculation Sheet'!$A$1:$AH$41</definedName>
    <definedName name="SUG_A">[1]Lists!$J$4:INDEX([1]Lists!$J$4:$J$40,MAX([1]Lists!$I$4:$I$40))</definedName>
    <definedName name="SUG_AA">[1]Lists!$JX$4:INDEX([1]Lists!$JX$4:$JX$42,MAX([1]Lists!$JW$4:$JW$40)+2)</definedName>
    <definedName name="SUG_AB">[1]Lists!$KB$4:INDEX([1]Lists!$KB$4:$KB$42,MAX([1]Lists!$KA$4:$KA$40)+2)</definedName>
    <definedName name="SUG_AC">[1]Lists!$KF$4:INDEX([1]Lists!$KF$4:$KF$42,MAX([1]Lists!$KE$4:$KE$40)+2)</definedName>
    <definedName name="SUG_AD">[1]Lists!$KJ$4:INDEX([1]Lists!$KJ$4:$KJ$42,MAX([1]Lists!$KI$4:$KI$40)+2)</definedName>
    <definedName name="SUG_AE">[1]Lists!$KN$4:INDEX([1]Lists!$KN$4:$KN$42,MAX([1]Lists!$KM$4:$KM$40)+2)</definedName>
    <definedName name="SUG_AF">[1]Lists!$KV$4:INDEX([1]Lists!$KV$4:$KV$42,MAX([1]Lists!$KU$4:$KU$40)+2)</definedName>
    <definedName name="SUG_AG">[1]Lists!$KZ$4:INDEX([1]Lists!$KZ$4:$KZ$42,MAX([1]Lists!$KY$4:$KY$40)+2)</definedName>
    <definedName name="SUG_AH">[1]Lists!$LD$4:INDEX([1]Lists!$LD$4:$LD$42,MAX([1]Lists!$LC$4:$LC$40)+2)</definedName>
    <definedName name="SUG_AI">[1]Lists!$KR$4:INDEX([1]Lists!$KR$4:$KR$42,MAX([1]Lists!$KQ$4:$KQ$40)+2)</definedName>
    <definedName name="SUG_B">[1]Lists!$GF$4:INDEX([1]Lists!$GF$4:$GF$42,MAX([1]Lists!$GE$4:$GE$40)+2)</definedName>
    <definedName name="SUG_C">[1]Lists!$GJ$4:INDEX([1]Lists!$GJ$4:$GJ$42,MAX([1]Lists!$GI$4:$GI$40)+2)</definedName>
    <definedName name="SUG_D">[1]Lists!$GB$4:INDEX([1]Lists!$GB$4:$GB$42,MAX([1]Lists!$GA$4:$GA$40)+2)</definedName>
    <definedName name="SUG_E">[1]Lists!$GN$4:INDEX([1]Lists!$GN$4:$GN$42,MAX([1]Lists!$GM$4:$GM$40)+2)</definedName>
    <definedName name="SUG_F">[1]Lists!$GR$4:INDEX([1]Lists!$GR$4:$GR$42,MAX([1]Lists!$GQ$4:$GQ$40)+2)</definedName>
    <definedName name="SUG_G">[1]Lists!$GV$4:INDEX([1]Lists!$GV$4:$GV$42,MAX([1]Lists!$GU$4:$GU$40)+2)</definedName>
    <definedName name="SUG_H">[1]Lists!$GZ$4:INDEX([1]Lists!$GZ$4:$GZ$42,MAX([1]Lists!$GY$4:$GY$40)+2)</definedName>
    <definedName name="SUG_I">[1]Lists!$HD$4:INDEX([1]Lists!$HD$4:$HD$42,MAX([1]Lists!$HC$4:$HC$40)+2)</definedName>
    <definedName name="SUG_J">[1]Lists!$HH$4:INDEX([1]Lists!$HH$4:$HH$42,MAX([1]Lists!$HG$4:$HG$40)+2)</definedName>
    <definedName name="SUG_K">[1]Lists!$HL$4:INDEX([1]Lists!$HL$4:$HL$42,MAX([1]Lists!$HK$4:$HK$40)+2)</definedName>
    <definedName name="SUG_L">[1]Lists!$HP$4:INDEX([1]Lists!$HP$4:$HP$42,MAX([1]Lists!$HO$4:$HO$40)+2)</definedName>
    <definedName name="SUG_M">[1]Lists!$HT$4:INDEX([1]Lists!$HT$4:$HT$42,MAX([1]Lists!$HS$4:$HS$40)+2)</definedName>
    <definedName name="SUG_MAIN">[1]Lists!$A$4:$A$114</definedName>
    <definedName name="SUG_N">[1]Lists!$HX$4:INDEX([1]Lists!$HX$4:$HX$42,MAX([1]Lists!$HW$4:$HW$40)+2)</definedName>
    <definedName name="SUG_O">[1]Lists!$IB$4:INDEX([1]Lists!$IB$4:$IB$42,MAX([1]Lists!$IA$4:$IA$40)+2)</definedName>
    <definedName name="SUG_P">[1]Lists!$IF$4:INDEX([1]Lists!$IF$4:$IF$42,MAX([1]Lists!$IE$4:$IE$40)+2)</definedName>
    <definedName name="SUG_Q">[1]Lists!$IJ$4:INDEX([1]Lists!$IJ$4:$IJ$42,MAX([1]Lists!$II$4:$II$40)+2)</definedName>
    <definedName name="SUG_R">[1]Lists!$IN$4:INDEX([1]Lists!$IN$4:$IN$42,MAX([1]Lists!$IM$4:$IM$40)+2)</definedName>
    <definedName name="SUG_S">[1]Lists!$IR$4:INDEX([1]Lists!$IR$4:$IR$42,MAX([1]Lists!$IQ$4:$IQ$40)+2)</definedName>
    <definedName name="SUG_T">[1]Lists!$IV$4:INDEX([1]Lists!$IV$4:$IV$42,MAX([1]Lists!$IU$4:$IU$40)+2)</definedName>
    <definedName name="SUG_U">[1]Lists!$IZ$4:INDEX([1]Lists!$IZ$4:$IZ$42,MAX([1]Lists!$IY$4:$IY$40)+2)</definedName>
    <definedName name="SUG_V">[1]Lists!$JD$4:INDEX([1]Lists!$JD$4:$JD$42,MAX([1]Lists!$JC$4:$JC$40)+2)</definedName>
    <definedName name="SUG_W">[1]Lists!$JH$4:INDEX([1]Lists!$JH$4:$JH$42,MAX([1]Lists!$JG$4:$JG$40)+2)</definedName>
    <definedName name="SUG_X">[1]Lists!$JL$4:INDEX([1]Lists!$JL$4:$JL$42,MAX([1]Lists!$JK$4:$JK$40)+2)</definedName>
    <definedName name="SUG_Y">[1]Lists!$JP$4:INDEX([1]Lists!$JP$4:$JP$42,MAX([1]Lists!$JO$4:$JO$40)+2)</definedName>
    <definedName name="SUG_Z">[1]Lists!$JT$4:INDEX([1]Lists!$JT$4:$JT$42,MAX([1]Lists!$JS$4:$JS$40)+2)</definedName>
    <definedName name="SUGF_A">[1]Lists!$QS$4:INDEX([1]Lists!$QS$4:$QS$42,MAX([1]Lists!$QR$4:$QR$40)+2)</definedName>
    <definedName name="SUGF_AA">[1]Lists!$US$4:INDEX([1]Lists!$US$4:$US$42,MAX([1]Lists!$UR$4:$UR$40)+2)</definedName>
    <definedName name="SUGF_AB">[1]Lists!$UW$4:INDEX([1]Lists!$UW$4:$UW$42,MAX([1]Lists!$UV$4:$UV$40)+2)</definedName>
    <definedName name="SUGF_AC">[1]Lists!$VA$4:INDEX([1]Lists!$VA$4:$VA$42,MAX([1]Lists!$UZ$4:$UZ$40)+2)</definedName>
    <definedName name="SUGF_AD">[1]Lists!$VE$4:INDEX([1]Lists!$VE$4:$VE$42,MAX([1]Lists!$VD$4:$VD$40)+2)</definedName>
    <definedName name="SUGF_AE">[1]Lists!$VI$4:INDEX([1]Lists!$VI$4:$VI$42,MAX([1]Lists!$VH$4:$VH$40)+2)</definedName>
    <definedName name="SUGF_AF">[1]Lists!$VM$4:INDEX([1]Lists!$VM$4:$VM$42,MAX([1]Lists!$VL$4:$VL$40)+2)</definedName>
    <definedName name="SUGF_AG">[1]Lists!$VQ$4:INDEX([1]Lists!$VQ$4:$VQ$42,MAX([1]Lists!$VP$4:$VP$40)+2)</definedName>
    <definedName name="SUGF_AH">[1]Lists!$VU$4:INDEX([1]Lists!$VU$4:$VU$42,MAX([1]Lists!$VT$4:$VT$40)+2)</definedName>
    <definedName name="SUGF_B">[1]Lists!$QW$4:INDEX([1]Lists!$QW$4:$QW$42,MAX([1]Lists!$QV$4:$QV$40)+2)</definedName>
    <definedName name="SUGF_C">[1]Lists!$RA$4:INDEX([1]Lists!$RA$4:$RA$42,MAX([1]Lists!$QZ$4:$QZ$40)+2)</definedName>
    <definedName name="SUGF_D">[1]Lists!$RE$4:INDEX([1]Lists!$RE$4:$RE$42,MAX([1]Lists!$RD$4:$RD$40)+2)</definedName>
    <definedName name="SUGF_E">[1]Lists!$RI$4:INDEX([1]Lists!$RI$4:$RI$42,MAX([1]Lists!$RH$4:$RH$40)+2)</definedName>
    <definedName name="SUGF_F">[1]Lists!$RM$4:INDEX([1]Lists!$RM$4:$RM$42,MAX([1]Lists!$RL$4:$RL$40)+2)</definedName>
    <definedName name="SUGF_G">[1]Lists!$RQ$4:INDEX([1]Lists!$RQ$4:$RQ$42,MAX([1]Lists!$RP$4:$RP$40)+2)</definedName>
    <definedName name="SUGF_H">[1]Lists!$RU$4:INDEX([1]Lists!$RU$4:$RU$42,MAX([1]Lists!$RT$4:$RT$40)+2)</definedName>
    <definedName name="SUGF_I">[1]Lists!$RY$4:INDEX([1]Lists!$RY$4:$RY$42,MAX([1]Lists!$RX$4:$RX$40)+2)</definedName>
    <definedName name="SUGF_J">[1]Lists!$SC$4:INDEX([1]Lists!$SC$4:$SC$42,MAX([1]Lists!$SB$4:$SB$40)+2)</definedName>
    <definedName name="SUGF_K">[1]Lists!$SG$4:INDEX([1]Lists!$SG$4:$SG$42,MAX([1]Lists!$SF$4:$SF$40)+2)</definedName>
    <definedName name="SUGF_L">[1]Lists!$SK$4:INDEX([1]Lists!$SK$4:$SK$42,MAX([1]Lists!$SJ$4:$SJ$40)+2)</definedName>
    <definedName name="SUGF_M">[1]Lists!$SO$4:INDEX([1]Lists!$SO$4:$SO$42,MAX([1]Lists!$SN$4:$SN$40)+2)</definedName>
    <definedName name="SUGF_N">[1]Lists!$SS$4:INDEX([1]Lists!$SS$4:$SS$42,MAX([1]Lists!$SR$4:$SR$40)+2)</definedName>
    <definedName name="SUGF_O">[1]Lists!$SW$4:INDEX([1]Lists!$SW$4:$SW$42,MAX([1]Lists!$SV$4:$SV$40)+2)</definedName>
    <definedName name="SUGF_P">[1]Lists!$TA$4:INDEX([1]Lists!$TA$4:$TA$42,MAX([1]Lists!$SZ$4:$SZ$40)+2)</definedName>
    <definedName name="SUGF_Q">[1]Lists!$TE$4:INDEX([1]Lists!$TE$4:$TE$42,MAX([1]Lists!$TD$4:$TD$40)+2)</definedName>
    <definedName name="SUGF_R">[1]Lists!$TI$4:INDEX([1]Lists!$TI$4:$TI$42,MAX([1]Lists!$TH$4:$TH$40)+2)</definedName>
    <definedName name="SUGF_S">[1]Lists!$TM$4:INDEX([1]Lists!$TM$4:$TM$42,MAX([1]Lists!$TL$4:$TL$40)+2)</definedName>
    <definedName name="SUGF_T">[1]Lists!$TQ$4:INDEX([1]Lists!$TQ$4:$TQ$42,MAX([1]Lists!$TP$4:$TP$40)+2)</definedName>
    <definedName name="SUGF_U">[1]Lists!$TU$4:INDEX([1]Lists!$TU$4:$TU$42,MAX([1]Lists!$TT$4:$TT$40)+2)</definedName>
    <definedName name="SUGF_V">[1]Lists!$TY$4:INDEX([1]Lists!$TY$4:$TY$42,MAX([1]Lists!$TX$4:$TX$40)+2)</definedName>
    <definedName name="SUGF_W">[1]Lists!$UC$4:INDEX([1]Lists!$UC$4:$UC$42,MAX([1]Lists!$UB$4:$UB$40)+2)</definedName>
    <definedName name="SUGF_X">[1]Lists!$UG$4:INDEX([1]Lists!$UG$4:$UG$42,MAX([1]Lists!$UF$4:$UF$40)+2)</definedName>
    <definedName name="SUGF_Y">[1]Lists!$UK$4:INDEX([1]Lists!$UK$4:$UK$42,MAX([1]Lists!$UJ$4:$UJ$40)+2)</definedName>
    <definedName name="SUGF_Z">[1]Lists!$UO$4:INDEX([1]Lists!$UO$4:$UO$42,MAX([1]Lists!$UN$4:$UN$40)+2)</definedName>
    <definedName name="SUGN_AA">[1]Lists!$PD$4:INDEX([1]Lists!$PD$4:$PD$42,MAX([1]Lists!$PC$4:$PC$40)+2)</definedName>
    <definedName name="SUGN_AB">[1]Lists!$PH$4:INDEX([1]Lists!$PH$4:$PH$42,MAX([1]Lists!$PG$4:$PG$40)+2)</definedName>
    <definedName name="SUGN_AC">[1]Lists!$PL$4:INDEX([1]Lists!$PL$4:$PL$42,MAX([1]Lists!$PK$4:$PK$40)+2)</definedName>
    <definedName name="SUGN_AD">[1]Lists!$PP$4:INDEX([1]Lists!$PP$4:$PP$42,MAX([1]Lists!$PO$4:$PO$40)+2)</definedName>
    <definedName name="SUGN_AE">[1]Lists!$PT$4:INDEX([1]Lists!$PT$4:$PT$42,MAX([1]Lists!$PS$4:$PS$40)+2)</definedName>
    <definedName name="SUGN_AF">[1]Lists!$QB$4:INDEX([1]Lists!$QB$4:$QB$42,MAX([1]Lists!$QA$4:$QA$40)+2)</definedName>
    <definedName name="SUGN_AG">[1]Lists!$QF$4:INDEX([1]Lists!$QF$4:$QF$42,MAX([1]Lists!$QE$4:$QE$40)+2)</definedName>
    <definedName name="SUGN_AH">[1]Lists!$QJ$4:INDEX([1]Lists!$QJ$4:$QJ$42,MAX([1]Lists!$QI$4:$QI$40)+2)</definedName>
    <definedName name="SUGN_AI">[1]Lists!$PX$4:INDEX([1]Lists!$PX$4:$PX$42,MAX([1]Lists!$PW$4:$PW$40)+2)</definedName>
    <definedName name="SUGN_B">[1]Lists!$LH$4:INDEX([1]Lists!$LH$4:$LH$42,MAX([1]Lists!$LG$4:$LG$40)+2)</definedName>
    <definedName name="SUGN_C">[1]Lists!$LL$4:INDEX([1]Lists!$LL$4:$LL$42,MAX([1]Lists!$LK$4:$LK$40)+2)</definedName>
    <definedName name="SUGN_D">[1]Lists!$LP$4:INDEX([1]Lists!$LP$4:$LP$42,MAX([1]Lists!$LO$4:$LO$40)+2)</definedName>
    <definedName name="SUGN_E">[1]Lists!$LT$4:INDEX([1]Lists!$LT$4:$LT$42,MAX([1]Lists!$LS$4:$LS$40)+2)</definedName>
    <definedName name="SUGN_F">[1]Lists!$LX$4:INDEX([1]Lists!$LX$4:$LX$42,MAX([1]Lists!$LW$4:$LW$40)+2)</definedName>
    <definedName name="SUGN_G">[1]Lists!$MB$4:INDEX([1]Lists!$MB$4:$MB$42,MAX([1]Lists!$MA$4:$MA$40)+2)</definedName>
    <definedName name="SUGN_H">[1]Lists!$MF$4:INDEX([1]Lists!$MF$4:$MF$42,MAX([1]Lists!$ME$4:$ME$40)+2)</definedName>
    <definedName name="SUGN_I">[1]Lists!$MJ$4:INDEX([1]Lists!$MJ$4:$MJ$42,MAX([1]Lists!$MI$4:$MI$40)+2)</definedName>
    <definedName name="SUGN_J">[1]Lists!$MN$4:INDEX([1]Lists!$MN$4:$MN$42,MAX([1]Lists!$MM$4:$MM$40)+2)</definedName>
    <definedName name="SUGN_K">[1]Lists!$MR$4:INDEX([1]Lists!$MR$4:$MR$42,MAX([1]Lists!$MQ$4:$MQ$40)+2)</definedName>
    <definedName name="SUGN_L">[1]Lists!$MV$4:INDEX([1]Lists!$MV$4:$MV$42,MAX([1]Lists!$MU$4:$MU$40)+2)</definedName>
    <definedName name="SUGN_M">[1]Lists!$MZ$4:INDEX([1]Lists!$MZ$4:$MZ$42,MAX([1]Lists!$MY$4:$MY$40)+2)</definedName>
    <definedName name="SUGN_N">[1]Lists!$ND$4:INDEX([1]Lists!$ND$4:$ND$42,MAX([1]Lists!$NC$4:$NC$40)+2)</definedName>
    <definedName name="SUGN_O">[1]Lists!$NH$4:INDEX([1]Lists!$NH$4:$NH$42,MAX([1]Lists!$NG$4:$NG$40)+2)</definedName>
    <definedName name="SUGN_P">[1]Lists!$NL$4:INDEX([1]Lists!$NL$4:$NL$42,MAX([1]Lists!$NK$4:$NK$40)+2)</definedName>
    <definedName name="SUGN_Q">[1]Lists!$NP$4:INDEX([1]Lists!$NP$4:$NP$42,MAX([1]Lists!$NO$4:$NO$40)+2)</definedName>
    <definedName name="SUGN_R">[1]Lists!$NT$4:INDEX([1]Lists!$NT$4:$NT$42,MAX([1]Lists!$NS$4:$NS$40)+2)</definedName>
    <definedName name="SUGN_S">[1]Lists!$NX$4:INDEX([1]Lists!$NX$4:$NX$42,MAX([1]Lists!$NW$4:$NW$40)+2)</definedName>
    <definedName name="SUGN_T">[1]Lists!$OB$4:INDEX([1]Lists!$OB$4:$OB$42,MAX([1]Lists!$OA$4:$OA$40)+2)</definedName>
    <definedName name="SUGN_U">[1]Lists!$OF$4:INDEX([1]Lists!$OF$4:$OF$42,MAX([1]Lists!$OE$4:$OE$40)+2)</definedName>
    <definedName name="SUGN_V">[1]Lists!$OJ$4:INDEX([1]Lists!$OJ$4:$OJ$42,MAX([1]Lists!$OI$4:$OI$40)+2)</definedName>
    <definedName name="SUGN_W">[1]Lists!$ON$4:INDEX([1]Lists!$ON$4:$ON$42,MAX([1]Lists!$OM$4:$OM$40)+2)</definedName>
    <definedName name="SUGN_X">[1]Lists!$OR$4:INDEX([1]Lists!$OR$4:$OR$42,MAX([1]Lists!$OQ$4:$OQ$40)+2)</definedName>
    <definedName name="SUGN_Y">[1]Lists!$OV$4:INDEX([1]Lists!$OV$4:$OV$42,MAX([1]Lists!$OU$4:$OU$40)+2)</definedName>
    <definedName name="SUGN_Z">[1]Lists!$OZ$4:INDEX([1]Lists!$OZ$4:$OZ$42,MAX([1]Lists!$OY$4:$OY$40)+2)</definedName>
  </definedName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Z38" i="1" l="1"/>
  <c r="Z37" i="1"/>
  <c r="Z36" i="1"/>
  <c r="Z35" i="1"/>
  <c r="S35" i="1" s="1"/>
  <c r="Z34" i="1"/>
  <c r="Z33" i="1"/>
  <c r="Z32" i="1"/>
  <c r="Z31" i="1"/>
  <c r="Z30" i="1"/>
  <c r="Z29" i="1"/>
  <c r="Z28" i="1"/>
  <c r="Z27" i="1"/>
  <c r="Z26" i="1"/>
  <c r="Z25" i="1"/>
  <c r="Z24" i="1"/>
  <c r="Z23" i="1"/>
  <c r="Z22" i="1"/>
  <c r="Z21" i="1"/>
  <c r="Z20" i="1"/>
  <c r="Z19" i="1"/>
  <c r="Z18" i="1"/>
  <c r="Z17" i="1"/>
  <c r="Z16" i="1"/>
  <c r="Z15" i="1"/>
  <c r="Z14" i="1"/>
  <c r="Z13" i="1"/>
  <c r="Z12" i="1"/>
  <c r="Z11" i="1"/>
  <c r="Z10" i="1"/>
  <c r="Z9" i="1"/>
  <c r="Z8" i="1"/>
  <c r="Z7" i="1"/>
  <c r="Z6" i="1"/>
  <c r="Z5" i="1"/>
  <c r="Z4" i="1"/>
  <c r="Z3" i="1"/>
  <c r="Z2" i="1"/>
  <c r="AA39" i="1"/>
  <c r="H39" i="1"/>
  <c r="H40" i="1" s="1"/>
  <c r="I40" i="1" s="1"/>
  <c r="BS38" i="1"/>
  <c r="BR38" i="1"/>
  <c r="BQ38" i="1"/>
  <c r="BP38" i="1"/>
  <c r="BO38" i="1"/>
  <c r="BN38" i="1"/>
  <c r="BM38" i="1"/>
  <c r="BL38" i="1"/>
  <c r="BK38" i="1"/>
  <c r="BJ38" i="1"/>
  <c r="BI38" i="1"/>
  <c r="BH38" i="1"/>
  <c r="BG38" i="1"/>
  <c r="BF38" i="1"/>
  <c r="BE38" i="1"/>
  <c r="BD38" i="1"/>
  <c r="BC38" i="1"/>
  <c r="BB38" i="1"/>
  <c r="BA38" i="1"/>
  <c r="AZ38" i="1"/>
  <c r="AY38" i="1"/>
  <c r="AX38" i="1"/>
  <c r="AW38" i="1"/>
  <c r="AV38" i="1"/>
  <c r="AU38" i="1"/>
  <c r="AT38" i="1"/>
  <c r="AS38" i="1"/>
  <c r="AR38" i="1"/>
  <c r="AQ38" i="1"/>
  <c r="AP38" i="1"/>
  <c r="AO38" i="1"/>
  <c r="AN38" i="1"/>
  <c r="AM38" i="1"/>
  <c r="AL38" i="1"/>
  <c r="AC38" i="1"/>
  <c r="T38" i="1"/>
  <c r="R38" i="1"/>
  <c r="N38" i="1"/>
  <c r="M38" i="1"/>
  <c r="L38" i="1"/>
  <c r="I38" i="1"/>
  <c r="BS37" i="1"/>
  <c r="BR37" i="1"/>
  <c r="BQ37" i="1"/>
  <c r="BP37" i="1"/>
  <c r="BO37" i="1"/>
  <c r="BN37" i="1"/>
  <c r="BM37" i="1"/>
  <c r="BL37" i="1"/>
  <c r="BK37" i="1"/>
  <c r="BJ37" i="1"/>
  <c r="BI37" i="1"/>
  <c r="BH37" i="1"/>
  <c r="BG37" i="1"/>
  <c r="BF37" i="1"/>
  <c r="BE37" i="1"/>
  <c r="BD37" i="1"/>
  <c r="BC37" i="1"/>
  <c r="BB37" i="1"/>
  <c r="BA37" i="1"/>
  <c r="AZ37" i="1"/>
  <c r="AY37" i="1"/>
  <c r="AX37" i="1"/>
  <c r="AW37" i="1"/>
  <c r="AV37" i="1"/>
  <c r="AU37" i="1"/>
  <c r="AT37" i="1"/>
  <c r="AS37" i="1"/>
  <c r="AR37" i="1"/>
  <c r="AQ37" i="1"/>
  <c r="AP37" i="1"/>
  <c r="AO37" i="1"/>
  <c r="AN37" i="1"/>
  <c r="AM37" i="1"/>
  <c r="AL37" i="1"/>
  <c r="AC37" i="1"/>
  <c r="T37" i="1"/>
  <c r="R37" i="1"/>
  <c r="N37" i="1"/>
  <c r="M37" i="1"/>
  <c r="L37" i="1"/>
  <c r="I37" i="1"/>
  <c r="K37" i="1" s="1"/>
  <c r="BS36" i="1"/>
  <c r="BR36" i="1"/>
  <c r="BQ36" i="1"/>
  <c r="BP36" i="1"/>
  <c r="BO36" i="1"/>
  <c r="BN36" i="1"/>
  <c r="BM36" i="1"/>
  <c r="BL36" i="1"/>
  <c r="BK36" i="1"/>
  <c r="BJ36" i="1"/>
  <c r="BI36" i="1"/>
  <c r="BH36" i="1"/>
  <c r="BG36" i="1"/>
  <c r="BF36" i="1"/>
  <c r="BE36" i="1"/>
  <c r="BD36" i="1"/>
  <c r="BC36" i="1"/>
  <c r="BB36" i="1"/>
  <c r="BA36" i="1"/>
  <c r="AZ36" i="1"/>
  <c r="AY36" i="1"/>
  <c r="AX36" i="1"/>
  <c r="AW36" i="1"/>
  <c r="AV36" i="1"/>
  <c r="AU36" i="1"/>
  <c r="AT36" i="1"/>
  <c r="AS36" i="1"/>
  <c r="AR36" i="1"/>
  <c r="AQ36" i="1"/>
  <c r="AP36" i="1"/>
  <c r="AO36" i="1"/>
  <c r="AN36" i="1"/>
  <c r="AM36" i="1"/>
  <c r="AL36" i="1"/>
  <c r="AC36" i="1"/>
  <c r="T36" i="1"/>
  <c r="R36" i="1"/>
  <c r="W36" i="1" s="1"/>
  <c r="N36" i="1"/>
  <c r="M36" i="1"/>
  <c r="L36" i="1"/>
  <c r="I36" i="1"/>
  <c r="J36" i="1" s="1"/>
  <c r="BS35" i="1"/>
  <c r="BR35" i="1"/>
  <c r="BQ35" i="1"/>
  <c r="BP35" i="1"/>
  <c r="BO35" i="1"/>
  <c r="BN35" i="1"/>
  <c r="BM35" i="1"/>
  <c r="BL35" i="1"/>
  <c r="BK35" i="1"/>
  <c r="BJ35" i="1"/>
  <c r="BI35" i="1"/>
  <c r="BH35" i="1"/>
  <c r="BG35" i="1"/>
  <c r="BF35" i="1"/>
  <c r="BE35" i="1"/>
  <c r="BD35" i="1"/>
  <c r="BC35" i="1"/>
  <c r="BB35" i="1"/>
  <c r="BA35" i="1"/>
  <c r="AZ35" i="1"/>
  <c r="AY35" i="1"/>
  <c r="AX35" i="1"/>
  <c r="AW35" i="1"/>
  <c r="AV35" i="1"/>
  <c r="AU35" i="1"/>
  <c r="AT35" i="1"/>
  <c r="AS35" i="1"/>
  <c r="AR35" i="1"/>
  <c r="AQ35" i="1"/>
  <c r="AP35" i="1"/>
  <c r="AO35" i="1"/>
  <c r="AN35" i="1"/>
  <c r="AM35" i="1"/>
  <c r="AL35" i="1"/>
  <c r="T35" i="1"/>
  <c r="U35" i="1" s="1"/>
  <c r="AC35" i="1" s="1"/>
  <c r="R35" i="1"/>
  <c r="N35" i="1"/>
  <c r="M35" i="1"/>
  <c r="L35" i="1"/>
  <c r="I35" i="1"/>
  <c r="J35" i="1" s="1"/>
  <c r="BS34" i="1"/>
  <c r="BR34" i="1"/>
  <c r="BQ34" i="1"/>
  <c r="BP34" i="1"/>
  <c r="BO34" i="1"/>
  <c r="BN34" i="1"/>
  <c r="BM34" i="1"/>
  <c r="BL34" i="1"/>
  <c r="BK34" i="1"/>
  <c r="BJ34" i="1"/>
  <c r="BI34" i="1"/>
  <c r="BH34" i="1"/>
  <c r="BG34" i="1"/>
  <c r="BF34" i="1"/>
  <c r="BE34" i="1"/>
  <c r="BD34" i="1"/>
  <c r="BC34" i="1"/>
  <c r="BB34" i="1"/>
  <c r="BA34" i="1"/>
  <c r="AZ34" i="1"/>
  <c r="AY34" i="1"/>
  <c r="AX34" i="1"/>
  <c r="AW34" i="1"/>
  <c r="AV34" i="1"/>
  <c r="AU34" i="1"/>
  <c r="AT34" i="1"/>
  <c r="AS34" i="1"/>
  <c r="AR34" i="1"/>
  <c r="AQ34" i="1"/>
  <c r="AP34" i="1"/>
  <c r="AO34" i="1"/>
  <c r="AN34" i="1"/>
  <c r="AM34" i="1"/>
  <c r="AL34" i="1"/>
  <c r="AC34" i="1"/>
  <c r="T34" i="1"/>
  <c r="R34" i="1"/>
  <c r="W34" i="1" s="1"/>
  <c r="N34" i="1"/>
  <c r="M34" i="1"/>
  <c r="L34" i="1"/>
  <c r="I34" i="1"/>
  <c r="J34" i="1" s="1"/>
  <c r="BS33" i="1"/>
  <c r="BR33" i="1"/>
  <c r="BQ33" i="1"/>
  <c r="BP33" i="1"/>
  <c r="BO33" i="1"/>
  <c r="BN33" i="1"/>
  <c r="BM33" i="1"/>
  <c r="BL33" i="1"/>
  <c r="BK33" i="1"/>
  <c r="BJ33" i="1"/>
  <c r="BI33" i="1"/>
  <c r="BH33" i="1"/>
  <c r="BG33" i="1"/>
  <c r="BF33" i="1"/>
  <c r="BE33" i="1"/>
  <c r="BD33" i="1"/>
  <c r="BC33" i="1"/>
  <c r="BB33" i="1"/>
  <c r="BA33" i="1"/>
  <c r="AZ33" i="1"/>
  <c r="AY33" i="1"/>
  <c r="AX33" i="1"/>
  <c r="AW33" i="1"/>
  <c r="AV33" i="1"/>
  <c r="AU33" i="1"/>
  <c r="AT33" i="1"/>
  <c r="AS33" i="1"/>
  <c r="AR33" i="1"/>
  <c r="AQ33" i="1"/>
  <c r="AP33" i="1"/>
  <c r="AO33" i="1"/>
  <c r="AN33" i="1"/>
  <c r="AM33" i="1"/>
  <c r="AL33" i="1"/>
  <c r="AC33" i="1"/>
  <c r="T33" i="1"/>
  <c r="R33" i="1"/>
  <c r="N33" i="1"/>
  <c r="M33" i="1"/>
  <c r="L33" i="1"/>
  <c r="I33" i="1"/>
  <c r="BS32" i="1"/>
  <c r="BR32" i="1"/>
  <c r="BQ32" i="1"/>
  <c r="BP32" i="1"/>
  <c r="BO32" i="1"/>
  <c r="BN32" i="1"/>
  <c r="BM32" i="1"/>
  <c r="BL32" i="1"/>
  <c r="BK32" i="1"/>
  <c r="BJ32" i="1"/>
  <c r="BI32" i="1"/>
  <c r="BH32" i="1"/>
  <c r="BG32" i="1"/>
  <c r="BF32" i="1"/>
  <c r="BE32" i="1"/>
  <c r="BD32" i="1"/>
  <c r="BC32" i="1"/>
  <c r="BB32" i="1"/>
  <c r="BA32" i="1"/>
  <c r="AZ32" i="1"/>
  <c r="AY32" i="1"/>
  <c r="AX32" i="1"/>
  <c r="AW32" i="1"/>
  <c r="AV32" i="1"/>
  <c r="AU32" i="1"/>
  <c r="AT32" i="1"/>
  <c r="AS32" i="1"/>
  <c r="AR32" i="1"/>
  <c r="AQ32" i="1"/>
  <c r="AP32" i="1"/>
  <c r="AO32" i="1"/>
  <c r="AN32" i="1"/>
  <c r="AM32" i="1"/>
  <c r="AL32" i="1"/>
  <c r="AC32" i="1"/>
  <c r="T32" i="1"/>
  <c r="R32" i="1"/>
  <c r="N32" i="1"/>
  <c r="M32" i="1"/>
  <c r="L32" i="1"/>
  <c r="I32" i="1"/>
  <c r="K32" i="1" s="1"/>
  <c r="BS31" i="1"/>
  <c r="BR31" i="1"/>
  <c r="BQ31" i="1"/>
  <c r="BP31" i="1"/>
  <c r="BO31" i="1"/>
  <c r="BN31" i="1"/>
  <c r="BM31" i="1"/>
  <c r="BL31" i="1"/>
  <c r="BK31" i="1"/>
  <c r="BJ31" i="1"/>
  <c r="BI31" i="1"/>
  <c r="BH31" i="1"/>
  <c r="BG31" i="1"/>
  <c r="BF31" i="1"/>
  <c r="BE31" i="1"/>
  <c r="BD31" i="1"/>
  <c r="BC31" i="1"/>
  <c r="BB31" i="1"/>
  <c r="BA31" i="1"/>
  <c r="AZ31" i="1"/>
  <c r="AY31" i="1"/>
  <c r="AX31" i="1"/>
  <c r="AW31" i="1"/>
  <c r="AV31" i="1"/>
  <c r="AU31" i="1"/>
  <c r="AT31" i="1"/>
  <c r="AS31" i="1"/>
  <c r="AR31" i="1"/>
  <c r="AQ31" i="1"/>
  <c r="AP31" i="1"/>
  <c r="AO31" i="1"/>
  <c r="AN31" i="1"/>
  <c r="AM31" i="1"/>
  <c r="AL31" i="1"/>
  <c r="T31" i="1"/>
  <c r="U31" i="1" s="1"/>
  <c r="AC31" i="1" s="1"/>
  <c r="R31" i="1"/>
  <c r="N31" i="1"/>
  <c r="M31" i="1"/>
  <c r="L31" i="1"/>
  <c r="I31" i="1"/>
  <c r="K31" i="1" s="1"/>
  <c r="BS30" i="1"/>
  <c r="BR30" i="1"/>
  <c r="BQ30" i="1"/>
  <c r="BP30" i="1"/>
  <c r="BO30" i="1"/>
  <c r="BN30" i="1"/>
  <c r="BM30" i="1"/>
  <c r="BL30" i="1"/>
  <c r="BK30" i="1"/>
  <c r="BJ30" i="1"/>
  <c r="BI30" i="1"/>
  <c r="BH30" i="1"/>
  <c r="BG30" i="1"/>
  <c r="BF30" i="1"/>
  <c r="BE30" i="1"/>
  <c r="BD30" i="1"/>
  <c r="BC30" i="1"/>
  <c r="BB30" i="1"/>
  <c r="BA30" i="1"/>
  <c r="AZ30" i="1"/>
  <c r="AY30" i="1"/>
  <c r="AX30" i="1"/>
  <c r="AW30" i="1"/>
  <c r="AV30" i="1"/>
  <c r="AU30" i="1"/>
  <c r="AT30" i="1"/>
  <c r="AS30" i="1"/>
  <c r="AR30" i="1"/>
  <c r="AQ30" i="1"/>
  <c r="AP30" i="1"/>
  <c r="AO30" i="1"/>
  <c r="AN30" i="1"/>
  <c r="AM30" i="1"/>
  <c r="AL30" i="1"/>
  <c r="T30" i="1"/>
  <c r="U30" i="1" s="1"/>
  <c r="AC30" i="1" s="1"/>
  <c r="R30" i="1"/>
  <c r="N30" i="1"/>
  <c r="M30" i="1"/>
  <c r="L30" i="1"/>
  <c r="I30" i="1"/>
  <c r="K30" i="1" s="1"/>
  <c r="BS29" i="1"/>
  <c r="BR29" i="1"/>
  <c r="BQ29" i="1"/>
  <c r="BP29" i="1"/>
  <c r="BO29" i="1"/>
  <c r="BN29" i="1"/>
  <c r="BM29" i="1"/>
  <c r="BL29" i="1"/>
  <c r="BK29" i="1"/>
  <c r="BJ29" i="1"/>
  <c r="BI29" i="1"/>
  <c r="BH29" i="1"/>
  <c r="BG29" i="1"/>
  <c r="BF29" i="1"/>
  <c r="BE29" i="1"/>
  <c r="BD29" i="1"/>
  <c r="BC29" i="1"/>
  <c r="BB29" i="1"/>
  <c r="BA29" i="1"/>
  <c r="AZ29" i="1"/>
  <c r="AY29" i="1"/>
  <c r="AX29" i="1"/>
  <c r="AW29" i="1"/>
  <c r="AV29" i="1"/>
  <c r="AU29" i="1"/>
  <c r="AT29" i="1"/>
  <c r="AS29" i="1"/>
  <c r="AR29" i="1"/>
  <c r="AQ29" i="1"/>
  <c r="AP29" i="1"/>
  <c r="AO29" i="1"/>
  <c r="AN29" i="1"/>
  <c r="AM29" i="1"/>
  <c r="AL29" i="1"/>
  <c r="AC29" i="1"/>
  <c r="T29" i="1"/>
  <c r="R29" i="1"/>
  <c r="W29" i="1" s="1"/>
  <c r="N29" i="1"/>
  <c r="M29" i="1"/>
  <c r="L29" i="1"/>
  <c r="I29" i="1"/>
  <c r="J29" i="1" s="1"/>
  <c r="BS28" i="1"/>
  <c r="BR28" i="1"/>
  <c r="BQ28" i="1"/>
  <c r="BP28" i="1"/>
  <c r="BO28" i="1"/>
  <c r="BN28" i="1"/>
  <c r="BM28" i="1"/>
  <c r="BL28" i="1"/>
  <c r="BK28" i="1"/>
  <c r="BJ28" i="1"/>
  <c r="BI28" i="1"/>
  <c r="BH28" i="1"/>
  <c r="BG28" i="1"/>
  <c r="BF28" i="1"/>
  <c r="BE28" i="1"/>
  <c r="BD28" i="1"/>
  <c r="BC28" i="1"/>
  <c r="BB28" i="1"/>
  <c r="BA28" i="1"/>
  <c r="AZ28" i="1"/>
  <c r="AY28" i="1"/>
  <c r="AX28" i="1"/>
  <c r="AW28" i="1"/>
  <c r="AV28" i="1"/>
  <c r="AU28" i="1"/>
  <c r="AT28" i="1"/>
  <c r="AS28" i="1"/>
  <c r="AR28" i="1"/>
  <c r="AQ28" i="1"/>
  <c r="AP28" i="1"/>
  <c r="AO28" i="1"/>
  <c r="AN28" i="1"/>
  <c r="AM28" i="1"/>
  <c r="AL28" i="1"/>
  <c r="T28" i="1"/>
  <c r="U28" i="1" s="1"/>
  <c r="AC28" i="1" s="1"/>
  <c r="R28" i="1"/>
  <c r="N28" i="1"/>
  <c r="M28" i="1"/>
  <c r="L28" i="1"/>
  <c r="I28" i="1"/>
  <c r="J28" i="1" s="1"/>
  <c r="BS27" i="1"/>
  <c r="BR27" i="1"/>
  <c r="BQ27" i="1"/>
  <c r="BP27" i="1"/>
  <c r="BO27" i="1"/>
  <c r="BN27" i="1"/>
  <c r="BM27" i="1"/>
  <c r="BL27" i="1"/>
  <c r="BK27" i="1"/>
  <c r="BJ27" i="1"/>
  <c r="BI27" i="1"/>
  <c r="BH27" i="1"/>
  <c r="BG27" i="1"/>
  <c r="BF27" i="1"/>
  <c r="BE27" i="1"/>
  <c r="BD27" i="1"/>
  <c r="BC27" i="1"/>
  <c r="BB27" i="1"/>
  <c r="BA27" i="1"/>
  <c r="AZ27" i="1"/>
  <c r="AY27" i="1"/>
  <c r="AX27" i="1"/>
  <c r="AW27" i="1"/>
  <c r="AV27" i="1"/>
  <c r="AU27" i="1"/>
  <c r="AT27" i="1"/>
  <c r="AS27" i="1"/>
  <c r="AR27" i="1"/>
  <c r="AQ27" i="1"/>
  <c r="AP27" i="1"/>
  <c r="AO27" i="1"/>
  <c r="AN27" i="1"/>
  <c r="AM27" i="1"/>
  <c r="AL27" i="1"/>
  <c r="AC27" i="1"/>
  <c r="T27" i="1"/>
  <c r="R27" i="1"/>
  <c r="W27" i="1" s="1"/>
  <c r="N27" i="1"/>
  <c r="M27" i="1"/>
  <c r="L27" i="1"/>
  <c r="I27" i="1"/>
  <c r="BS26" i="1"/>
  <c r="BR26" i="1"/>
  <c r="BQ26" i="1"/>
  <c r="BP26" i="1"/>
  <c r="BO26" i="1"/>
  <c r="BN26" i="1"/>
  <c r="BM26" i="1"/>
  <c r="BL26" i="1"/>
  <c r="BK26" i="1"/>
  <c r="BJ26" i="1"/>
  <c r="BI26" i="1"/>
  <c r="BH26" i="1"/>
  <c r="BG26" i="1"/>
  <c r="BF26" i="1"/>
  <c r="BE26" i="1"/>
  <c r="BD26" i="1"/>
  <c r="BC26" i="1"/>
  <c r="BB26" i="1"/>
  <c r="BA26" i="1"/>
  <c r="AZ26" i="1"/>
  <c r="AY26" i="1"/>
  <c r="AX26" i="1"/>
  <c r="AW26" i="1"/>
  <c r="AV26" i="1"/>
  <c r="AU26" i="1"/>
  <c r="AT26" i="1"/>
  <c r="AS26" i="1"/>
  <c r="AR26" i="1"/>
  <c r="AQ26" i="1"/>
  <c r="AP26" i="1"/>
  <c r="AO26" i="1"/>
  <c r="AN26" i="1"/>
  <c r="AM26" i="1"/>
  <c r="AL26" i="1"/>
  <c r="AC26" i="1"/>
  <c r="T26" i="1"/>
  <c r="R26" i="1"/>
  <c r="N26" i="1"/>
  <c r="M26" i="1"/>
  <c r="L26" i="1"/>
  <c r="I26" i="1"/>
  <c r="BS25" i="1"/>
  <c r="BR25" i="1"/>
  <c r="BQ25" i="1"/>
  <c r="BP25" i="1"/>
  <c r="BO25" i="1"/>
  <c r="BN25" i="1"/>
  <c r="BM25" i="1"/>
  <c r="BL25" i="1"/>
  <c r="BK25" i="1"/>
  <c r="BJ25" i="1"/>
  <c r="BI25" i="1"/>
  <c r="BH25" i="1"/>
  <c r="BG25" i="1"/>
  <c r="BF25" i="1"/>
  <c r="BE25" i="1"/>
  <c r="BD25" i="1"/>
  <c r="BC25" i="1"/>
  <c r="BB25" i="1"/>
  <c r="BA25" i="1"/>
  <c r="AZ25" i="1"/>
  <c r="AY25" i="1"/>
  <c r="AX25" i="1"/>
  <c r="AW25" i="1"/>
  <c r="AV25" i="1"/>
  <c r="AU25" i="1"/>
  <c r="AT25" i="1"/>
  <c r="AS25" i="1"/>
  <c r="AR25" i="1"/>
  <c r="AQ25" i="1"/>
  <c r="AP25" i="1"/>
  <c r="AO25" i="1"/>
  <c r="AN25" i="1"/>
  <c r="AM25" i="1"/>
  <c r="AL25" i="1"/>
  <c r="AC25" i="1"/>
  <c r="T25" i="1"/>
  <c r="R25" i="1"/>
  <c r="S25" i="1" s="1"/>
  <c r="N25" i="1"/>
  <c r="M25" i="1"/>
  <c r="L25" i="1"/>
  <c r="I25" i="1"/>
  <c r="K25" i="1" s="1"/>
  <c r="BS24" i="1"/>
  <c r="BR24" i="1"/>
  <c r="BQ24" i="1"/>
  <c r="BP24" i="1"/>
  <c r="BO24" i="1"/>
  <c r="BN24" i="1"/>
  <c r="BM24" i="1"/>
  <c r="BL24" i="1"/>
  <c r="BK24" i="1"/>
  <c r="BJ24" i="1"/>
  <c r="BI24" i="1"/>
  <c r="BH24" i="1"/>
  <c r="BG24" i="1"/>
  <c r="BF24" i="1"/>
  <c r="BE24" i="1"/>
  <c r="BD24" i="1"/>
  <c r="BC24" i="1"/>
  <c r="BB24" i="1"/>
  <c r="BA24" i="1"/>
  <c r="AZ24" i="1"/>
  <c r="AY24" i="1"/>
  <c r="AX24" i="1"/>
  <c r="AW24" i="1"/>
  <c r="AV24" i="1"/>
  <c r="AU24" i="1"/>
  <c r="AT24" i="1"/>
  <c r="AS24" i="1"/>
  <c r="AR24" i="1"/>
  <c r="AQ24" i="1"/>
  <c r="AP24" i="1"/>
  <c r="AO24" i="1"/>
  <c r="AN24" i="1"/>
  <c r="AM24" i="1"/>
  <c r="AL24" i="1"/>
  <c r="T24" i="1"/>
  <c r="U24" i="1" s="1"/>
  <c r="AC24" i="1" s="1"/>
  <c r="R24" i="1"/>
  <c r="N24" i="1"/>
  <c r="M24" i="1"/>
  <c r="L24" i="1"/>
  <c r="I24" i="1"/>
  <c r="K24" i="1" s="1"/>
  <c r="BS23" i="1"/>
  <c r="BR23" i="1"/>
  <c r="BQ23" i="1"/>
  <c r="BP23" i="1"/>
  <c r="BO23" i="1"/>
  <c r="BN23" i="1"/>
  <c r="BM23" i="1"/>
  <c r="BL23" i="1"/>
  <c r="BK23" i="1"/>
  <c r="BJ23" i="1"/>
  <c r="BI23" i="1"/>
  <c r="BH23" i="1"/>
  <c r="BG23" i="1"/>
  <c r="BF23" i="1"/>
  <c r="BE23" i="1"/>
  <c r="BD23" i="1"/>
  <c r="BC23" i="1"/>
  <c r="BB23" i="1"/>
  <c r="BA23" i="1"/>
  <c r="AZ23" i="1"/>
  <c r="AY23" i="1"/>
  <c r="AX23" i="1"/>
  <c r="AW23" i="1"/>
  <c r="AV23" i="1"/>
  <c r="AU23" i="1"/>
  <c r="AT23" i="1"/>
  <c r="AS23" i="1"/>
  <c r="AR23" i="1"/>
  <c r="AQ23" i="1"/>
  <c r="AP23" i="1"/>
  <c r="AO23" i="1"/>
  <c r="AN23" i="1"/>
  <c r="AM23" i="1"/>
  <c r="AL23" i="1"/>
  <c r="AC23" i="1"/>
  <c r="T23" i="1"/>
  <c r="R23" i="1"/>
  <c r="N23" i="1"/>
  <c r="M23" i="1"/>
  <c r="L23" i="1"/>
  <c r="I23" i="1"/>
  <c r="J23" i="1" s="1"/>
  <c r="BS22" i="1"/>
  <c r="BR22" i="1"/>
  <c r="BQ22" i="1"/>
  <c r="BP22" i="1"/>
  <c r="BO22" i="1"/>
  <c r="BN22" i="1"/>
  <c r="BM22" i="1"/>
  <c r="BL22" i="1"/>
  <c r="BK22" i="1"/>
  <c r="BJ22" i="1"/>
  <c r="BI22" i="1"/>
  <c r="BH22" i="1"/>
  <c r="BG22" i="1"/>
  <c r="BF22" i="1"/>
  <c r="BE22" i="1"/>
  <c r="BD22" i="1"/>
  <c r="BC22" i="1"/>
  <c r="BB22" i="1"/>
  <c r="BA22" i="1"/>
  <c r="AZ22" i="1"/>
  <c r="AY22" i="1"/>
  <c r="AX22" i="1"/>
  <c r="AW22" i="1"/>
  <c r="AV22" i="1"/>
  <c r="AU22" i="1"/>
  <c r="AT22" i="1"/>
  <c r="AS22" i="1"/>
  <c r="AR22" i="1"/>
  <c r="AQ22" i="1"/>
  <c r="AP22" i="1"/>
  <c r="AO22" i="1"/>
  <c r="AN22" i="1"/>
  <c r="AM22" i="1"/>
  <c r="AL22" i="1"/>
  <c r="T22" i="1"/>
  <c r="U22" i="1" s="1"/>
  <c r="AC22" i="1" s="1"/>
  <c r="R22" i="1"/>
  <c r="N22" i="1"/>
  <c r="M22" i="1"/>
  <c r="L22" i="1"/>
  <c r="I22" i="1"/>
  <c r="J22" i="1" s="1"/>
  <c r="BS21" i="1"/>
  <c r="BR21" i="1"/>
  <c r="BQ21" i="1"/>
  <c r="BP21" i="1"/>
  <c r="BO21" i="1"/>
  <c r="BN21" i="1"/>
  <c r="BM21" i="1"/>
  <c r="BL21" i="1"/>
  <c r="BK21" i="1"/>
  <c r="BJ21" i="1"/>
  <c r="BI21" i="1"/>
  <c r="BH21" i="1"/>
  <c r="BG21" i="1"/>
  <c r="BF21" i="1"/>
  <c r="BE21" i="1"/>
  <c r="BD21" i="1"/>
  <c r="BC21" i="1"/>
  <c r="BB21" i="1"/>
  <c r="BA21" i="1"/>
  <c r="AZ21" i="1"/>
  <c r="AY21" i="1"/>
  <c r="AX21" i="1"/>
  <c r="AW21" i="1"/>
  <c r="AV21" i="1"/>
  <c r="AU21" i="1"/>
  <c r="AT21" i="1"/>
  <c r="AS21" i="1"/>
  <c r="AR21" i="1"/>
  <c r="AQ21" i="1"/>
  <c r="AP21" i="1"/>
  <c r="AO21" i="1"/>
  <c r="AN21" i="1"/>
  <c r="AM21" i="1"/>
  <c r="AL21" i="1"/>
  <c r="AC21" i="1"/>
  <c r="T21" i="1"/>
  <c r="R21" i="1"/>
  <c r="W21" i="1" s="1"/>
  <c r="N21" i="1"/>
  <c r="M21" i="1"/>
  <c r="L21" i="1"/>
  <c r="I21" i="1"/>
  <c r="J21" i="1" s="1"/>
  <c r="BS20" i="1"/>
  <c r="BR20" i="1"/>
  <c r="BQ20" i="1"/>
  <c r="BP20" i="1"/>
  <c r="BO20" i="1"/>
  <c r="BN20" i="1"/>
  <c r="BM20" i="1"/>
  <c r="BL20" i="1"/>
  <c r="BK20" i="1"/>
  <c r="BJ20" i="1"/>
  <c r="BI20" i="1"/>
  <c r="BH20" i="1"/>
  <c r="BG20" i="1"/>
  <c r="BF20" i="1"/>
  <c r="BE20" i="1"/>
  <c r="BD20" i="1"/>
  <c r="BC20" i="1"/>
  <c r="BB20" i="1"/>
  <c r="BA20" i="1"/>
  <c r="AZ20" i="1"/>
  <c r="AY20" i="1"/>
  <c r="AX20" i="1"/>
  <c r="AW20" i="1"/>
  <c r="AV20" i="1"/>
  <c r="AU20" i="1"/>
  <c r="AT20" i="1"/>
  <c r="AS20" i="1"/>
  <c r="AR20" i="1"/>
  <c r="AQ20" i="1"/>
  <c r="AP20" i="1"/>
  <c r="AO20" i="1"/>
  <c r="AN20" i="1"/>
  <c r="AM20" i="1"/>
  <c r="AL20" i="1"/>
  <c r="T20" i="1"/>
  <c r="U20" i="1" s="1"/>
  <c r="AC20" i="1" s="1"/>
  <c r="R20" i="1"/>
  <c r="W20" i="1" s="1"/>
  <c r="N20" i="1"/>
  <c r="M20" i="1"/>
  <c r="L20" i="1"/>
  <c r="I20" i="1"/>
  <c r="K20" i="1" s="1"/>
  <c r="BS19" i="1"/>
  <c r="BR19" i="1"/>
  <c r="BQ19" i="1"/>
  <c r="BP19" i="1"/>
  <c r="BO19" i="1"/>
  <c r="BN19" i="1"/>
  <c r="BM19" i="1"/>
  <c r="BL19" i="1"/>
  <c r="BK19" i="1"/>
  <c r="BJ19" i="1"/>
  <c r="BI19" i="1"/>
  <c r="BH19" i="1"/>
  <c r="BG19" i="1"/>
  <c r="BF19" i="1"/>
  <c r="BE19" i="1"/>
  <c r="BD19" i="1"/>
  <c r="BC19" i="1"/>
  <c r="BB19" i="1"/>
  <c r="BA19" i="1"/>
  <c r="AZ19" i="1"/>
  <c r="AY19" i="1"/>
  <c r="AX19" i="1"/>
  <c r="AW19" i="1"/>
  <c r="AV19" i="1"/>
  <c r="AU19" i="1"/>
  <c r="AT19" i="1"/>
  <c r="AS19" i="1"/>
  <c r="AR19" i="1"/>
  <c r="AQ19" i="1"/>
  <c r="AP19" i="1"/>
  <c r="AO19" i="1"/>
  <c r="AN19" i="1"/>
  <c r="AM19" i="1"/>
  <c r="AL19" i="1"/>
  <c r="T19" i="1"/>
  <c r="U19" i="1" s="1"/>
  <c r="AC19" i="1" s="1"/>
  <c r="R19" i="1"/>
  <c r="W19" i="1" s="1"/>
  <c r="N19" i="1"/>
  <c r="M19" i="1"/>
  <c r="L19" i="1"/>
  <c r="I19" i="1"/>
  <c r="K19" i="1" s="1"/>
  <c r="BS18" i="1"/>
  <c r="BR18" i="1"/>
  <c r="BQ18" i="1"/>
  <c r="BP18" i="1"/>
  <c r="BO18" i="1"/>
  <c r="BN18" i="1"/>
  <c r="BM18" i="1"/>
  <c r="BL18" i="1"/>
  <c r="BK18" i="1"/>
  <c r="BJ18" i="1"/>
  <c r="BI18" i="1"/>
  <c r="BH18" i="1"/>
  <c r="BG18" i="1"/>
  <c r="BF18" i="1"/>
  <c r="BE18" i="1"/>
  <c r="BD18" i="1"/>
  <c r="BC18" i="1"/>
  <c r="BB18" i="1"/>
  <c r="BA18" i="1"/>
  <c r="AZ18" i="1"/>
  <c r="AY18" i="1"/>
  <c r="AX18" i="1"/>
  <c r="AW18" i="1"/>
  <c r="AV18" i="1"/>
  <c r="AU18" i="1"/>
  <c r="AT18" i="1"/>
  <c r="AS18" i="1"/>
  <c r="AR18" i="1"/>
  <c r="AQ18" i="1"/>
  <c r="AP18" i="1"/>
  <c r="AO18" i="1"/>
  <c r="AN18" i="1"/>
  <c r="AM18" i="1"/>
  <c r="AL18" i="1"/>
  <c r="AC18" i="1"/>
  <c r="T18" i="1"/>
  <c r="R18" i="1"/>
  <c r="N18" i="1"/>
  <c r="M18" i="1"/>
  <c r="L18" i="1"/>
  <c r="I18" i="1"/>
  <c r="BS17" i="1"/>
  <c r="BR17" i="1"/>
  <c r="BQ17" i="1"/>
  <c r="BP17" i="1"/>
  <c r="BO17" i="1"/>
  <c r="BN17" i="1"/>
  <c r="BM17" i="1"/>
  <c r="BL17" i="1"/>
  <c r="BK17" i="1"/>
  <c r="BJ17" i="1"/>
  <c r="BI17" i="1"/>
  <c r="BH17" i="1"/>
  <c r="BG17" i="1"/>
  <c r="BF17" i="1"/>
  <c r="BE17" i="1"/>
  <c r="BD17" i="1"/>
  <c r="BC17" i="1"/>
  <c r="BB17" i="1"/>
  <c r="BA17" i="1"/>
  <c r="AZ17" i="1"/>
  <c r="AY17" i="1"/>
  <c r="AX17" i="1"/>
  <c r="AW17" i="1"/>
  <c r="AV17" i="1"/>
  <c r="AU17" i="1"/>
  <c r="AT17" i="1"/>
  <c r="AS17" i="1"/>
  <c r="AR17" i="1"/>
  <c r="AQ17" i="1"/>
  <c r="AP17" i="1"/>
  <c r="AO17" i="1"/>
  <c r="AN17" i="1"/>
  <c r="AM17" i="1"/>
  <c r="AL17" i="1"/>
  <c r="T17" i="1"/>
  <c r="U17" i="1" s="1"/>
  <c r="AC17" i="1" s="1"/>
  <c r="R17" i="1"/>
  <c r="N17" i="1"/>
  <c r="M17" i="1"/>
  <c r="L17" i="1"/>
  <c r="I17" i="1"/>
  <c r="BS16" i="1"/>
  <c r="BR16" i="1"/>
  <c r="BQ16" i="1"/>
  <c r="BP16" i="1"/>
  <c r="BO16" i="1"/>
  <c r="BN16" i="1"/>
  <c r="BM16" i="1"/>
  <c r="BL16" i="1"/>
  <c r="BK16" i="1"/>
  <c r="BJ16" i="1"/>
  <c r="BI16" i="1"/>
  <c r="BH16" i="1"/>
  <c r="BG16" i="1"/>
  <c r="BF16" i="1"/>
  <c r="BE16" i="1"/>
  <c r="BD16" i="1"/>
  <c r="BC16" i="1"/>
  <c r="BB16" i="1"/>
  <c r="BA16" i="1"/>
  <c r="AZ16" i="1"/>
  <c r="AY16" i="1"/>
  <c r="AX16" i="1"/>
  <c r="AW16" i="1"/>
  <c r="AV16" i="1"/>
  <c r="AU16" i="1"/>
  <c r="AT16" i="1"/>
  <c r="AS16" i="1"/>
  <c r="AR16" i="1"/>
  <c r="AQ16" i="1"/>
  <c r="AP16" i="1"/>
  <c r="AO16" i="1"/>
  <c r="AN16" i="1"/>
  <c r="AM16" i="1"/>
  <c r="AL16" i="1"/>
  <c r="T16" i="1"/>
  <c r="U16" i="1" s="1"/>
  <c r="AC16" i="1" s="1"/>
  <c r="R16" i="1"/>
  <c r="S16" i="1" s="1"/>
  <c r="N16" i="1"/>
  <c r="M16" i="1"/>
  <c r="L16" i="1"/>
  <c r="I16" i="1"/>
  <c r="BS15" i="1"/>
  <c r="BR15" i="1"/>
  <c r="BQ15" i="1"/>
  <c r="BP15" i="1"/>
  <c r="BO15" i="1"/>
  <c r="BN15" i="1"/>
  <c r="BM15" i="1"/>
  <c r="BL15" i="1"/>
  <c r="BK15" i="1"/>
  <c r="BJ15" i="1"/>
  <c r="BI15" i="1"/>
  <c r="BH15" i="1"/>
  <c r="BG15" i="1"/>
  <c r="BF15" i="1"/>
  <c r="BE15" i="1"/>
  <c r="BD15" i="1"/>
  <c r="BC15" i="1"/>
  <c r="BB15" i="1"/>
  <c r="BA15" i="1"/>
  <c r="AZ15" i="1"/>
  <c r="AY15" i="1"/>
  <c r="AX15" i="1"/>
  <c r="AW15" i="1"/>
  <c r="AV15" i="1"/>
  <c r="AU15" i="1"/>
  <c r="AT15" i="1"/>
  <c r="AS15" i="1"/>
  <c r="AR15" i="1"/>
  <c r="AQ15" i="1"/>
  <c r="AP15" i="1"/>
  <c r="AO15" i="1"/>
  <c r="AN15" i="1"/>
  <c r="AM15" i="1"/>
  <c r="AL15" i="1"/>
  <c r="T15" i="1"/>
  <c r="R15" i="1"/>
  <c r="N15" i="1"/>
  <c r="M15" i="1"/>
  <c r="L15" i="1"/>
  <c r="I15" i="1"/>
  <c r="BS14" i="1"/>
  <c r="BR14" i="1"/>
  <c r="BQ14" i="1"/>
  <c r="BP14" i="1"/>
  <c r="BO14" i="1"/>
  <c r="BN14" i="1"/>
  <c r="BM14" i="1"/>
  <c r="BL14" i="1"/>
  <c r="BK14" i="1"/>
  <c r="BJ14" i="1"/>
  <c r="BI14" i="1"/>
  <c r="BH14" i="1"/>
  <c r="BG14" i="1"/>
  <c r="BF14" i="1"/>
  <c r="BE14" i="1"/>
  <c r="BD14" i="1"/>
  <c r="BC14" i="1"/>
  <c r="BB14" i="1"/>
  <c r="BA14" i="1"/>
  <c r="AZ14" i="1"/>
  <c r="AY14" i="1"/>
  <c r="AX14" i="1"/>
  <c r="AW14" i="1"/>
  <c r="AV14" i="1"/>
  <c r="AU14" i="1"/>
  <c r="AT14" i="1"/>
  <c r="AS14" i="1"/>
  <c r="AR14" i="1"/>
  <c r="AQ14" i="1"/>
  <c r="AP14" i="1"/>
  <c r="AO14" i="1"/>
  <c r="AN14" i="1"/>
  <c r="AM14" i="1"/>
  <c r="AL14" i="1"/>
  <c r="AC14" i="1"/>
  <c r="T14" i="1"/>
  <c r="R14" i="1"/>
  <c r="N14" i="1"/>
  <c r="M14" i="1"/>
  <c r="L14" i="1"/>
  <c r="I14" i="1"/>
  <c r="K14" i="1" s="1"/>
  <c r="BS13" i="1"/>
  <c r="BR13" i="1"/>
  <c r="BQ13" i="1"/>
  <c r="BP13" i="1"/>
  <c r="BO13" i="1"/>
  <c r="BN13" i="1"/>
  <c r="BM13" i="1"/>
  <c r="BL13" i="1"/>
  <c r="BK13" i="1"/>
  <c r="BJ13" i="1"/>
  <c r="BI13" i="1"/>
  <c r="BH13" i="1"/>
  <c r="BG13" i="1"/>
  <c r="BF13" i="1"/>
  <c r="BE13" i="1"/>
  <c r="BD13" i="1"/>
  <c r="BC13" i="1"/>
  <c r="BB13" i="1"/>
  <c r="BA13" i="1"/>
  <c r="AZ13" i="1"/>
  <c r="AY13" i="1"/>
  <c r="AX13" i="1"/>
  <c r="AW13" i="1"/>
  <c r="AV13" i="1"/>
  <c r="AU13" i="1"/>
  <c r="AT13" i="1"/>
  <c r="AS13" i="1"/>
  <c r="AR13" i="1"/>
  <c r="AQ13" i="1"/>
  <c r="AP13" i="1"/>
  <c r="AO13" i="1"/>
  <c r="AN13" i="1"/>
  <c r="AM13" i="1"/>
  <c r="AL13" i="1"/>
  <c r="AC13" i="1"/>
  <c r="T13" i="1"/>
  <c r="R13" i="1"/>
  <c r="N13" i="1"/>
  <c r="M13" i="1"/>
  <c r="L13" i="1"/>
  <c r="I13" i="1"/>
  <c r="J13" i="1" s="1"/>
  <c r="BS12" i="1"/>
  <c r="BR12" i="1"/>
  <c r="BQ12" i="1"/>
  <c r="BP12" i="1"/>
  <c r="BO12" i="1"/>
  <c r="BN12" i="1"/>
  <c r="BM12" i="1"/>
  <c r="BL12" i="1"/>
  <c r="BK12" i="1"/>
  <c r="BJ12" i="1"/>
  <c r="BI12" i="1"/>
  <c r="BH12" i="1"/>
  <c r="BG12" i="1"/>
  <c r="BF12" i="1"/>
  <c r="BE12" i="1"/>
  <c r="BD12" i="1"/>
  <c r="BC12" i="1"/>
  <c r="BB12" i="1"/>
  <c r="BA12" i="1"/>
  <c r="AZ12" i="1"/>
  <c r="AY12" i="1"/>
  <c r="AX12" i="1"/>
  <c r="AW12" i="1"/>
  <c r="AV12" i="1"/>
  <c r="AU12" i="1"/>
  <c r="AT12" i="1"/>
  <c r="AS12" i="1"/>
  <c r="AR12" i="1"/>
  <c r="AQ12" i="1"/>
  <c r="AP12" i="1"/>
  <c r="AO12" i="1"/>
  <c r="AN12" i="1"/>
  <c r="AM12" i="1"/>
  <c r="AL12" i="1"/>
  <c r="T12" i="1"/>
  <c r="U12" i="1" s="1"/>
  <c r="AC12" i="1" s="1"/>
  <c r="R12" i="1"/>
  <c r="N12" i="1"/>
  <c r="M12" i="1"/>
  <c r="L12" i="1"/>
  <c r="I12" i="1"/>
  <c r="J12" i="1" s="1"/>
  <c r="BS11" i="1"/>
  <c r="BR11" i="1"/>
  <c r="BQ11" i="1"/>
  <c r="BP11" i="1"/>
  <c r="BO11" i="1"/>
  <c r="BN11" i="1"/>
  <c r="BM11" i="1"/>
  <c r="BL11" i="1"/>
  <c r="BK11" i="1"/>
  <c r="BJ11" i="1"/>
  <c r="BI11" i="1"/>
  <c r="BH11" i="1"/>
  <c r="BG11" i="1"/>
  <c r="BF11" i="1"/>
  <c r="BE11" i="1"/>
  <c r="BD11" i="1"/>
  <c r="BC11" i="1"/>
  <c r="BB11" i="1"/>
  <c r="BA11" i="1"/>
  <c r="AZ11" i="1"/>
  <c r="AY11" i="1"/>
  <c r="AX11" i="1"/>
  <c r="AW11" i="1"/>
  <c r="AV11" i="1"/>
  <c r="AU11" i="1"/>
  <c r="AT11" i="1"/>
  <c r="AS11" i="1"/>
  <c r="AR11" i="1"/>
  <c r="AQ11" i="1"/>
  <c r="AP11" i="1"/>
  <c r="AO11" i="1"/>
  <c r="AN11" i="1"/>
  <c r="AM11" i="1"/>
  <c r="AL11" i="1"/>
  <c r="AC11" i="1"/>
  <c r="T11" i="1"/>
  <c r="R11" i="1"/>
  <c r="W11" i="1" s="1"/>
  <c r="N11" i="1"/>
  <c r="M11" i="1"/>
  <c r="L11" i="1"/>
  <c r="I11" i="1"/>
  <c r="J11" i="1" s="1"/>
  <c r="BS10" i="1"/>
  <c r="BR10" i="1"/>
  <c r="BQ10" i="1"/>
  <c r="BP10" i="1"/>
  <c r="BO10" i="1"/>
  <c r="BN10" i="1"/>
  <c r="BM10" i="1"/>
  <c r="BL10" i="1"/>
  <c r="BK10" i="1"/>
  <c r="BJ10" i="1"/>
  <c r="BI10" i="1"/>
  <c r="BH10" i="1"/>
  <c r="BG10" i="1"/>
  <c r="BF10" i="1"/>
  <c r="BE10" i="1"/>
  <c r="BD10" i="1"/>
  <c r="BC10" i="1"/>
  <c r="BB10" i="1"/>
  <c r="BA10" i="1"/>
  <c r="AZ10" i="1"/>
  <c r="AY10" i="1"/>
  <c r="AX10" i="1"/>
  <c r="AW10" i="1"/>
  <c r="AV10" i="1"/>
  <c r="AU10" i="1"/>
  <c r="AT10" i="1"/>
  <c r="AS10" i="1"/>
  <c r="AR10" i="1"/>
  <c r="AQ10" i="1"/>
  <c r="AP10" i="1"/>
  <c r="AO10" i="1"/>
  <c r="AN10" i="1"/>
  <c r="AM10" i="1"/>
  <c r="AL10" i="1"/>
  <c r="T10" i="1"/>
  <c r="U10" i="1" s="1"/>
  <c r="AC10" i="1" s="1"/>
  <c r="R10" i="1"/>
  <c r="N10" i="1"/>
  <c r="M10" i="1"/>
  <c r="L10" i="1"/>
  <c r="I10" i="1"/>
  <c r="K10" i="1" s="1"/>
  <c r="BS9" i="1"/>
  <c r="BR9" i="1"/>
  <c r="BQ9" i="1"/>
  <c r="BP9" i="1"/>
  <c r="BO9" i="1"/>
  <c r="BN9" i="1"/>
  <c r="BM9" i="1"/>
  <c r="BL9" i="1"/>
  <c r="BK9" i="1"/>
  <c r="BJ9" i="1"/>
  <c r="BI9" i="1"/>
  <c r="BH9" i="1"/>
  <c r="BG9" i="1"/>
  <c r="BF9" i="1"/>
  <c r="BE9" i="1"/>
  <c r="BD9" i="1"/>
  <c r="BC9" i="1"/>
  <c r="BB9" i="1"/>
  <c r="BA9" i="1"/>
  <c r="AZ9" i="1"/>
  <c r="AY9" i="1"/>
  <c r="AX9" i="1"/>
  <c r="AW9" i="1"/>
  <c r="AV9" i="1"/>
  <c r="AU9" i="1"/>
  <c r="AT9" i="1"/>
  <c r="AS9" i="1"/>
  <c r="AR9" i="1"/>
  <c r="AQ9" i="1"/>
  <c r="AP9" i="1"/>
  <c r="AO9" i="1"/>
  <c r="AN9" i="1"/>
  <c r="AM9" i="1"/>
  <c r="AL9" i="1"/>
  <c r="T9" i="1"/>
  <c r="U9" i="1" s="1"/>
  <c r="AC9" i="1" s="1"/>
  <c r="R9" i="1"/>
  <c r="W9" i="1" s="1"/>
  <c r="N9" i="1"/>
  <c r="M9" i="1"/>
  <c r="L9" i="1"/>
  <c r="I9" i="1"/>
  <c r="K9" i="1" s="1"/>
  <c r="BS8" i="1"/>
  <c r="BR8" i="1"/>
  <c r="BQ8" i="1"/>
  <c r="BP8" i="1"/>
  <c r="BO8" i="1"/>
  <c r="BN8" i="1"/>
  <c r="BM8" i="1"/>
  <c r="BL8" i="1"/>
  <c r="BK8" i="1"/>
  <c r="BJ8" i="1"/>
  <c r="BI8" i="1"/>
  <c r="BH8" i="1"/>
  <c r="BG8" i="1"/>
  <c r="BF8" i="1"/>
  <c r="BE8" i="1"/>
  <c r="BD8" i="1"/>
  <c r="BC8" i="1"/>
  <c r="BB8" i="1"/>
  <c r="BA8" i="1"/>
  <c r="AZ8" i="1"/>
  <c r="AY8" i="1"/>
  <c r="AX8" i="1"/>
  <c r="AW8" i="1"/>
  <c r="AV8" i="1"/>
  <c r="AU8" i="1"/>
  <c r="AT8" i="1"/>
  <c r="AS8" i="1"/>
  <c r="AR8" i="1"/>
  <c r="AQ8" i="1"/>
  <c r="AP8" i="1"/>
  <c r="AO8" i="1"/>
  <c r="AN8" i="1"/>
  <c r="AM8" i="1"/>
  <c r="AL8" i="1"/>
  <c r="T8" i="1"/>
  <c r="U8" i="1" s="1"/>
  <c r="AC8" i="1" s="1"/>
  <c r="R8" i="1"/>
  <c r="W8" i="1" s="1"/>
  <c r="N8" i="1"/>
  <c r="M8" i="1"/>
  <c r="L8" i="1"/>
  <c r="I8" i="1"/>
  <c r="J8" i="1" s="1"/>
  <c r="BS7" i="1"/>
  <c r="BR7" i="1"/>
  <c r="BQ7" i="1"/>
  <c r="BP7" i="1"/>
  <c r="BO7" i="1"/>
  <c r="BN7" i="1"/>
  <c r="BM7" i="1"/>
  <c r="BL7" i="1"/>
  <c r="BK7" i="1"/>
  <c r="BJ7" i="1"/>
  <c r="BI7" i="1"/>
  <c r="BH7" i="1"/>
  <c r="BG7" i="1"/>
  <c r="BF7" i="1"/>
  <c r="BE7" i="1"/>
  <c r="BD7" i="1"/>
  <c r="BC7" i="1"/>
  <c r="BB7" i="1"/>
  <c r="BA7" i="1"/>
  <c r="AZ7" i="1"/>
  <c r="AY7" i="1"/>
  <c r="AX7" i="1"/>
  <c r="AW7" i="1"/>
  <c r="AV7" i="1"/>
  <c r="AU7" i="1"/>
  <c r="AT7" i="1"/>
  <c r="AS7" i="1"/>
  <c r="AR7" i="1"/>
  <c r="AQ7" i="1"/>
  <c r="AP7" i="1"/>
  <c r="AO7" i="1"/>
  <c r="AN7" i="1"/>
  <c r="AM7" i="1"/>
  <c r="AL7" i="1"/>
  <c r="T7" i="1"/>
  <c r="U7" i="1" s="1"/>
  <c r="AC7" i="1" s="1"/>
  <c r="R7" i="1"/>
  <c r="W7" i="1" s="1"/>
  <c r="N7" i="1"/>
  <c r="M7" i="1"/>
  <c r="L7" i="1"/>
  <c r="I7" i="1"/>
  <c r="K7" i="1" s="1"/>
  <c r="BS6" i="1"/>
  <c r="BR6" i="1"/>
  <c r="BQ6" i="1"/>
  <c r="BP6" i="1"/>
  <c r="BO6" i="1"/>
  <c r="BN6" i="1"/>
  <c r="BM6" i="1"/>
  <c r="BL6" i="1"/>
  <c r="BK6" i="1"/>
  <c r="BJ6" i="1"/>
  <c r="BI6" i="1"/>
  <c r="BH6" i="1"/>
  <c r="BG6" i="1"/>
  <c r="BF6" i="1"/>
  <c r="BE6" i="1"/>
  <c r="BD6" i="1"/>
  <c r="BC6" i="1"/>
  <c r="BB6" i="1"/>
  <c r="BA6" i="1"/>
  <c r="AZ6" i="1"/>
  <c r="AY6" i="1"/>
  <c r="AX6" i="1"/>
  <c r="AW6" i="1"/>
  <c r="AV6" i="1"/>
  <c r="AU6" i="1"/>
  <c r="AT6" i="1"/>
  <c r="AS6" i="1"/>
  <c r="AR6" i="1"/>
  <c r="AQ6" i="1"/>
  <c r="AP6" i="1"/>
  <c r="AO6" i="1"/>
  <c r="AN6" i="1"/>
  <c r="AM6" i="1"/>
  <c r="AL6" i="1"/>
  <c r="T6" i="1"/>
  <c r="U6" i="1" s="1"/>
  <c r="AC6" i="1" s="1"/>
  <c r="R6" i="1"/>
  <c r="W6" i="1" s="1"/>
  <c r="N6" i="1"/>
  <c r="M6" i="1"/>
  <c r="L6" i="1"/>
  <c r="I6" i="1"/>
  <c r="K6" i="1" s="1"/>
  <c r="BS5" i="1"/>
  <c r="BR5" i="1"/>
  <c r="BQ5" i="1"/>
  <c r="BP5" i="1"/>
  <c r="BO5" i="1"/>
  <c r="BN5" i="1"/>
  <c r="BM5" i="1"/>
  <c r="BL5" i="1"/>
  <c r="BK5" i="1"/>
  <c r="BJ5" i="1"/>
  <c r="BI5" i="1"/>
  <c r="BH5" i="1"/>
  <c r="BG5" i="1"/>
  <c r="BF5" i="1"/>
  <c r="BE5" i="1"/>
  <c r="BD5" i="1"/>
  <c r="BC5" i="1"/>
  <c r="BB5" i="1"/>
  <c r="BA5" i="1"/>
  <c r="AZ5" i="1"/>
  <c r="AY5" i="1"/>
  <c r="AX5" i="1"/>
  <c r="AW5" i="1"/>
  <c r="AV5" i="1"/>
  <c r="AU5" i="1"/>
  <c r="AT5" i="1"/>
  <c r="AS5" i="1"/>
  <c r="AR5" i="1"/>
  <c r="AQ5" i="1"/>
  <c r="AP5" i="1"/>
  <c r="AO5" i="1"/>
  <c r="AN5" i="1"/>
  <c r="AM5" i="1"/>
  <c r="AL5" i="1"/>
  <c r="T5" i="1"/>
  <c r="R5" i="1"/>
  <c r="W5" i="1" s="1"/>
  <c r="X5" i="1" s="1"/>
  <c r="AC5" i="1" s="1"/>
  <c r="N5" i="1"/>
  <c r="M5" i="1"/>
  <c r="L5" i="1"/>
  <c r="I5" i="1"/>
  <c r="K5" i="1" s="1"/>
  <c r="BS4" i="1"/>
  <c r="BR4" i="1"/>
  <c r="BQ4" i="1"/>
  <c r="BP4" i="1"/>
  <c r="BO4" i="1"/>
  <c r="BN4" i="1"/>
  <c r="BM4" i="1"/>
  <c r="BL4" i="1"/>
  <c r="BK4" i="1"/>
  <c r="BJ4" i="1"/>
  <c r="BI4" i="1"/>
  <c r="BH4" i="1"/>
  <c r="BG4" i="1"/>
  <c r="BF4" i="1"/>
  <c r="BE4" i="1"/>
  <c r="BD4" i="1"/>
  <c r="BC4" i="1"/>
  <c r="BB4" i="1"/>
  <c r="BA4" i="1"/>
  <c r="AZ4" i="1"/>
  <c r="AY4" i="1"/>
  <c r="AX4" i="1"/>
  <c r="AW4" i="1"/>
  <c r="AV4" i="1"/>
  <c r="AU4" i="1"/>
  <c r="AT4" i="1"/>
  <c r="AS4" i="1"/>
  <c r="AR4" i="1"/>
  <c r="AQ4" i="1"/>
  <c r="AP4" i="1"/>
  <c r="AO4" i="1"/>
  <c r="AN4" i="1"/>
  <c r="AM4" i="1"/>
  <c r="AL4" i="1"/>
  <c r="T4" i="1"/>
  <c r="R4" i="1"/>
  <c r="N4" i="1"/>
  <c r="M4" i="1"/>
  <c r="L4" i="1"/>
  <c r="I4" i="1"/>
  <c r="K4" i="1" s="1"/>
  <c r="BS3" i="1"/>
  <c r="BR3" i="1"/>
  <c r="BQ3" i="1"/>
  <c r="BP3" i="1"/>
  <c r="BO3" i="1"/>
  <c r="BN3" i="1"/>
  <c r="BM3" i="1"/>
  <c r="BL3" i="1"/>
  <c r="BK3" i="1"/>
  <c r="BJ3" i="1"/>
  <c r="BI3" i="1"/>
  <c r="BH3" i="1"/>
  <c r="BG3" i="1"/>
  <c r="BF3" i="1"/>
  <c r="BE3" i="1"/>
  <c r="BD3" i="1"/>
  <c r="BC3" i="1"/>
  <c r="BB3" i="1"/>
  <c r="BA3" i="1"/>
  <c r="AZ3" i="1"/>
  <c r="AY3" i="1"/>
  <c r="AX3" i="1"/>
  <c r="AW3" i="1"/>
  <c r="AV3" i="1"/>
  <c r="AU3" i="1"/>
  <c r="AT3" i="1"/>
  <c r="AS3" i="1"/>
  <c r="AR3" i="1"/>
  <c r="AQ3" i="1"/>
  <c r="AP3" i="1"/>
  <c r="AO3" i="1"/>
  <c r="AN3" i="1"/>
  <c r="AM3" i="1"/>
  <c r="AL3" i="1"/>
  <c r="T3" i="1"/>
  <c r="U3" i="1" s="1"/>
  <c r="R3" i="1"/>
  <c r="W3" i="1" s="1"/>
  <c r="N3" i="1"/>
  <c r="M3" i="1"/>
  <c r="L3" i="1"/>
  <c r="I3" i="1"/>
  <c r="K3" i="1" s="1"/>
  <c r="BS2" i="1"/>
  <c r="BR2" i="1"/>
  <c r="BQ2" i="1"/>
  <c r="BP2" i="1"/>
  <c r="BO2" i="1"/>
  <c r="BN2" i="1"/>
  <c r="BM2" i="1"/>
  <c r="BL2" i="1"/>
  <c r="BK2" i="1"/>
  <c r="BJ2" i="1"/>
  <c r="BI2" i="1"/>
  <c r="BH2" i="1"/>
  <c r="BG2" i="1"/>
  <c r="BF2" i="1"/>
  <c r="BE2" i="1"/>
  <c r="BD2" i="1"/>
  <c r="BC2" i="1"/>
  <c r="BB2" i="1"/>
  <c r="BA2" i="1"/>
  <c r="AZ2" i="1"/>
  <c r="AY2" i="1"/>
  <c r="AX2" i="1"/>
  <c r="AW2" i="1"/>
  <c r="AV2" i="1"/>
  <c r="AU2" i="1"/>
  <c r="AT2" i="1"/>
  <c r="AS2" i="1"/>
  <c r="AR2" i="1"/>
  <c r="AQ2" i="1"/>
  <c r="AP2" i="1"/>
  <c r="AO2" i="1"/>
  <c r="AN2" i="1"/>
  <c r="AM2" i="1"/>
  <c r="AL2" i="1"/>
  <c r="AC2" i="1"/>
  <c r="T2" i="1"/>
  <c r="R2" i="1"/>
  <c r="W2" i="1" s="1"/>
  <c r="N2" i="1"/>
  <c r="M2" i="1"/>
  <c r="L2" i="1"/>
  <c r="I2" i="1"/>
  <c r="S7" i="1" l="1"/>
  <c r="O11" i="1"/>
  <c r="O16" i="1"/>
  <c r="S11" i="1"/>
  <c r="AD11" i="1" s="1"/>
  <c r="AE11" i="1" s="1"/>
  <c r="S31" i="1"/>
  <c r="S19" i="1"/>
  <c r="S4" i="1"/>
  <c r="S37" i="1"/>
  <c r="AD37" i="1" s="1"/>
  <c r="AE37" i="1" s="1"/>
  <c r="P11" i="1"/>
  <c r="P16" i="1"/>
  <c r="K34" i="1"/>
  <c r="S2" i="1"/>
  <c r="S8" i="1"/>
  <c r="S14" i="1"/>
  <c r="AD14" i="1" s="1"/>
  <c r="AE14" i="1" s="1"/>
  <c r="S17" i="1"/>
  <c r="AD17" i="1" s="1"/>
  <c r="AE17" i="1" s="1"/>
  <c r="S20" i="1"/>
  <c r="O22" i="1"/>
  <c r="P22" i="1" s="1"/>
  <c r="S23" i="1"/>
  <c r="O27" i="1"/>
  <c r="P27" i="1" s="1"/>
  <c r="S27" i="1"/>
  <c r="S29" i="1"/>
  <c r="S32" i="1"/>
  <c r="AD32" i="1" s="1"/>
  <c r="AE32" i="1" s="1"/>
  <c r="S5" i="1"/>
  <c r="O9" i="1"/>
  <c r="P9" i="1" s="1"/>
  <c r="S22" i="1"/>
  <c r="W10" i="1"/>
  <c r="S10" i="1"/>
  <c r="S6" i="1"/>
  <c r="AD6" i="1" s="1"/>
  <c r="AE6" i="1" s="1"/>
  <c r="S9" i="1"/>
  <c r="AD9" i="1" s="1"/>
  <c r="AE9" i="1" s="1"/>
  <c r="S21" i="1"/>
  <c r="AD21" i="1" s="1"/>
  <c r="AE21" i="1" s="1"/>
  <c r="S26" i="1"/>
  <c r="K27" i="1"/>
  <c r="J27" i="1"/>
  <c r="S12" i="1"/>
  <c r="AD12" i="1" s="1"/>
  <c r="AE12" i="1" s="1"/>
  <c r="S18" i="1"/>
  <c r="O28" i="1"/>
  <c r="P28" i="1" s="1"/>
  <c r="S28" i="1"/>
  <c r="S30" i="1"/>
  <c r="S33" i="1"/>
  <c r="AD33" i="1" s="1"/>
  <c r="AE33" i="1" s="1"/>
  <c r="O25" i="1"/>
  <c r="P25" i="1" s="1"/>
  <c r="S3" i="1"/>
  <c r="S13" i="1"/>
  <c r="AD13" i="1" s="1"/>
  <c r="AE13" i="1" s="1"/>
  <c r="S15" i="1"/>
  <c r="S24" i="1"/>
  <c r="S34" i="1"/>
  <c r="AD34" i="1" s="1"/>
  <c r="AE34" i="1" s="1"/>
  <c r="S36" i="1"/>
  <c r="AD36" i="1" s="1"/>
  <c r="AE36" i="1" s="1"/>
  <c r="O38" i="1"/>
  <c r="S38" i="1"/>
  <c r="AD38" i="1" s="1"/>
  <c r="AE38" i="1" s="1"/>
  <c r="AD27" i="1"/>
  <c r="AE27" i="1" s="1"/>
  <c r="AD29" i="1"/>
  <c r="AE29" i="1" s="1"/>
  <c r="W25" i="1"/>
  <c r="AD25" i="1"/>
  <c r="AE25" i="1" s="1"/>
  <c r="O8" i="1"/>
  <c r="P8" i="1" s="1"/>
  <c r="O13" i="1"/>
  <c r="P13" i="1" s="1"/>
  <c r="AD19" i="1"/>
  <c r="AE19" i="1" s="1"/>
  <c r="K21" i="1"/>
  <c r="K22" i="1"/>
  <c r="O23" i="1"/>
  <c r="P23" i="1" s="1"/>
  <c r="BT23" i="1"/>
  <c r="W4" i="1"/>
  <c r="X4" i="1" s="1"/>
  <c r="AC4" i="1" s="1"/>
  <c r="AD4" i="1" s="1"/>
  <c r="AE4" i="1" s="1"/>
  <c r="O2" i="1"/>
  <c r="P2" i="1" s="1"/>
  <c r="K11" i="1"/>
  <c r="AD20" i="1"/>
  <c r="AE20" i="1" s="1"/>
  <c r="BT27" i="1"/>
  <c r="O34" i="1"/>
  <c r="P34" i="1" s="1"/>
  <c r="BT6" i="1"/>
  <c r="AD8" i="1"/>
  <c r="AE8" i="1" s="1"/>
  <c r="J10" i="1"/>
  <c r="O10" i="1"/>
  <c r="P10" i="1" s="1"/>
  <c r="BT10" i="1"/>
  <c r="BT13" i="1"/>
  <c r="K35" i="1"/>
  <c r="O36" i="1"/>
  <c r="P36" i="1" s="1"/>
  <c r="P38" i="1"/>
  <c r="AD24" i="1"/>
  <c r="AE24" i="1" s="1"/>
  <c r="K13" i="1"/>
  <c r="J19" i="1"/>
  <c r="O19" i="1"/>
  <c r="P19" i="1" s="1"/>
  <c r="J20" i="1"/>
  <c r="O20" i="1"/>
  <c r="P20" i="1" s="1"/>
  <c r="O21" i="1"/>
  <c r="P21" i="1" s="1"/>
  <c r="AD23" i="1"/>
  <c r="AE23" i="1" s="1"/>
  <c r="O24" i="1"/>
  <c r="P24" i="1" s="1"/>
  <c r="K28" i="1"/>
  <c r="O29" i="1"/>
  <c r="P29" i="1" s="1"/>
  <c r="K8" i="1"/>
  <c r="J9" i="1"/>
  <c r="O12" i="1"/>
  <c r="P12" i="1" s="1"/>
  <c r="O14" i="1"/>
  <c r="P14" i="1" s="1"/>
  <c r="W17" i="1"/>
  <c r="AD31" i="1"/>
  <c r="AE31" i="1" s="1"/>
  <c r="O32" i="1"/>
  <c r="P32" i="1" s="1"/>
  <c r="W32" i="1"/>
  <c r="BT34" i="1"/>
  <c r="O35" i="1"/>
  <c r="P35" i="1" s="1"/>
  <c r="M39" i="1"/>
  <c r="T39" i="1"/>
  <c r="O3" i="1"/>
  <c r="P3" i="1" s="1"/>
  <c r="O4" i="1"/>
  <c r="P4" i="1" s="1"/>
  <c r="O5" i="1"/>
  <c r="P5" i="1" s="1"/>
  <c r="O6" i="1"/>
  <c r="P6" i="1" s="1"/>
  <c r="O7" i="1"/>
  <c r="P7" i="1" s="1"/>
  <c r="BT8" i="1"/>
  <c r="K12" i="1"/>
  <c r="BT14" i="1"/>
  <c r="O15" i="1"/>
  <c r="P15" i="1" s="1"/>
  <c r="O18" i="1"/>
  <c r="P18" i="1" s="1"/>
  <c r="BT22" i="1"/>
  <c r="BT26" i="1"/>
  <c r="K29" i="1"/>
  <c r="BT29" i="1"/>
  <c r="AD30" i="1"/>
  <c r="AE30" i="1" s="1"/>
  <c r="O31" i="1"/>
  <c r="P31" i="1" s="1"/>
  <c r="BT33" i="1"/>
  <c r="K36" i="1"/>
  <c r="BT36" i="1"/>
  <c r="I39" i="1"/>
  <c r="BT2" i="1"/>
  <c r="U39" i="1"/>
  <c r="BT4" i="1"/>
  <c r="AD5" i="1"/>
  <c r="AE5" i="1" s="1"/>
  <c r="BT5" i="1"/>
  <c r="AD7" i="1"/>
  <c r="AE7" i="1" s="1"/>
  <c r="BT12" i="1"/>
  <c r="W14" i="1"/>
  <c r="BT21" i="1"/>
  <c r="W23" i="1"/>
  <c r="BT24" i="1"/>
  <c r="BT31" i="1"/>
  <c r="BT37" i="1"/>
  <c r="BT38" i="1"/>
  <c r="BT3" i="1"/>
  <c r="K2" i="1"/>
  <c r="J3" i="1"/>
  <c r="J4" i="1"/>
  <c r="J5" i="1"/>
  <c r="J6" i="1"/>
  <c r="J7" i="1"/>
  <c r="BT9" i="1"/>
  <c r="BT11" i="1"/>
  <c r="W13" i="1"/>
  <c r="BT16" i="1"/>
  <c r="O17" i="1"/>
  <c r="P17" i="1" s="1"/>
  <c r="BT18" i="1"/>
  <c r="BT19" i="1"/>
  <c r="BT20" i="1"/>
  <c r="K23" i="1"/>
  <c r="BT25" i="1"/>
  <c r="O26" i="1"/>
  <c r="P26" i="1" s="1"/>
  <c r="BT28" i="1"/>
  <c r="O30" i="1"/>
  <c r="P30" i="1" s="1"/>
  <c r="BT30" i="1"/>
  <c r="BT32" i="1"/>
  <c r="O33" i="1"/>
  <c r="P33" i="1" s="1"/>
  <c r="BT35" i="1"/>
  <c r="O37" i="1"/>
  <c r="P37" i="1" s="1"/>
  <c r="W37" i="1"/>
  <c r="Z39" i="1"/>
  <c r="BT7" i="1"/>
  <c r="K15" i="1"/>
  <c r="J15" i="1"/>
  <c r="W15" i="1"/>
  <c r="X15" i="1" s="1"/>
  <c r="AC15" i="1" s="1"/>
  <c r="AD28" i="1"/>
  <c r="AE28" i="1" s="1"/>
  <c r="K33" i="1"/>
  <c r="J33" i="1"/>
  <c r="W33" i="1"/>
  <c r="K38" i="1"/>
  <c r="J38" i="1"/>
  <c r="W38" i="1"/>
  <c r="J2" i="1"/>
  <c r="N39" i="1"/>
  <c r="AC3" i="1"/>
  <c r="AD3" i="1" s="1"/>
  <c r="AE3" i="1" s="1"/>
  <c r="BT15" i="1"/>
  <c r="W16" i="1"/>
  <c r="K18" i="1"/>
  <c r="J18" i="1"/>
  <c r="W18" i="1"/>
  <c r="AD18" i="1"/>
  <c r="AE18" i="1" s="1"/>
  <c r="R39" i="1"/>
  <c r="R40" i="1" s="1"/>
  <c r="S40" i="1" s="1"/>
  <c r="AD10" i="1"/>
  <c r="AE10" i="1" s="1"/>
  <c r="K17" i="1"/>
  <c r="J17" i="1"/>
  <c r="K26" i="1"/>
  <c r="J26" i="1"/>
  <c r="W26" i="1"/>
  <c r="AD26" i="1"/>
  <c r="AE26" i="1" s="1"/>
  <c r="AD35" i="1"/>
  <c r="AE35" i="1" s="1"/>
  <c r="L40" i="1"/>
  <c r="K40" i="1"/>
  <c r="N40" i="1"/>
  <c r="J40" i="1"/>
  <c r="M40" i="1"/>
  <c r="L39" i="1"/>
  <c r="K16" i="1"/>
  <c r="J16" i="1"/>
  <c r="AD16" i="1"/>
  <c r="AE16" i="1" s="1"/>
  <c r="BT17" i="1"/>
  <c r="AD22" i="1"/>
  <c r="AE22" i="1" s="1"/>
  <c r="W24" i="1"/>
  <c r="W30" i="1"/>
  <c r="W31" i="1"/>
  <c r="W12" i="1"/>
  <c r="J14" i="1"/>
  <c r="W22" i="1"/>
  <c r="J24" i="1"/>
  <c r="J25" i="1"/>
  <c r="W28" i="1"/>
  <c r="J30" i="1"/>
  <c r="J31" i="1"/>
  <c r="J32" i="1"/>
  <c r="W35" i="1"/>
  <c r="J37" i="1"/>
  <c r="O39" i="1" l="1"/>
  <c r="O40" i="1"/>
  <c r="P40" i="1" s="1"/>
  <c r="K39" i="1"/>
  <c r="U40" i="1"/>
  <c r="W39" i="1"/>
  <c r="P39" i="1"/>
  <c r="S39" i="1"/>
  <c r="AD2" i="1"/>
  <c r="AC39" i="1"/>
  <c r="X39" i="1"/>
  <c r="J39" i="1"/>
  <c r="AD15" i="1"/>
  <c r="AE15" i="1" s="1"/>
  <c r="X40" i="1" l="1"/>
  <c r="AD39" i="1"/>
  <c r="AE39" i="1" s="1"/>
  <c r="AE2" i="1"/>
</calcChain>
</file>

<file path=xl/sharedStrings.xml><?xml version="1.0" encoding="utf-8"?>
<sst xmlns="http://schemas.openxmlformats.org/spreadsheetml/2006/main" count="286" uniqueCount="124">
  <si>
    <t>Quantity</t>
  </si>
  <si>
    <t>Lot No.</t>
  </si>
  <si>
    <t>Rate</t>
  </si>
  <si>
    <t>Bid Sheet</t>
  </si>
  <si>
    <t>Unit</t>
  </si>
  <si>
    <t>Buyer</t>
  </si>
  <si>
    <t>Mat. Value</t>
  </si>
  <si>
    <t>GST</t>
  </si>
  <si>
    <t>Mat. Value + GST</t>
  </si>
  <si>
    <t>TCS</t>
  </si>
  <si>
    <t>TDS u/s 194(O)</t>
  </si>
  <si>
    <t>Service Charge
to MSTC</t>
  </si>
  <si>
    <t>TDS u/s 194(H)</t>
  </si>
  <si>
    <t>Service charge to MSTC</t>
  </si>
  <si>
    <t>GST TDS Rate</t>
  </si>
  <si>
    <t>GST TDS</t>
  </si>
  <si>
    <t>Total Receivables in Cash</t>
  </si>
  <si>
    <t>Security Deposit (Expected)</t>
  </si>
  <si>
    <t>Security Deposit (Received)</t>
  </si>
  <si>
    <t>Date of Receipt</t>
  </si>
  <si>
    <t>Final Payment (Expected)</t>
  </si>
  <si>
    <t>Final Payment (Received)</t>
  </si>
  <si>
    <t>LPP Expected</t>
  </si>
  <si>
    <t>LPP Received</t>
  </si>
  <si>
    <t>Date of Recepit of LPP</t>
  </si>
  <si>
    <t>Total Received</t>
  </si>
  <si>
    <t>Outstanding</t>
  </si>
  <si>
    <t>Payment Status</t>
  </si>
  <si>
    <t xml:space="preserve">Invoice No. </t>
  </si>
  <si>
    <t>SAP Document</t>
  </si>
  <si>
    <t>Doc./Invoice Date</t>
  </si>
  <si>
    <t>SCRAP COPPER OF T/F WINDING (Oil impregnated paper insulated T/F winding)</t>
  </si>
  <si>
    <t>KG</t>
  </si>
  <si>
    <t>AL HAMD TRADE CORPORATION</t>
  </si>
  <si>
    <t>24.08.2026</t>
  </si>
  <si>
    <t>18.08.2026</t>
  </si>
  <si>
    <t>DR2640100029</t>
  </si>
  <si>
    <t>Scrap of Empty oil drum</t>
  </si>
  <si>
    <t>NO</t>
  </si>
  <si>
    <t>NATIONAL ENTERPRISES</t>
  </si>
  <si>
    <t>13.08.2026</t>
  </si>
  <si>
    <t>DR2640100030</t>
  </si>
  <si>
    <t>27.08.2026</t>
  </si>
  <si>
    <t>Scrap of Copper of faulty AC compressor</t>
  </si>
  <si>
    <t>F R KHANS ENTERPRISES</t>
  </si>
  <si>
    <t>11.08.2026</t>
  </si>
  <si>
    <t>20.08.2026</t>
  </si>
  <si>
    <t>DR2640100047</t>
  </si>
  <si>
    <t>Scrap of MS (extracted from equip cage and empty Sf6 gas cylinder)</t>
  </si>
  <si>
    <t>DR2640100048</t>
  </si>
  <si>
    <t>SCRAP ACSR CONDUCTORS (Conductor Pieces)</t>
  </si>
  <si>
    <t>OMKAR STEELS</t>
  </si>
  <si>
    <t>14.08.2026</t>
  </si>
  <si>
    <t>DR2640100045</t>
  </si>
  <si>
    <t>Scrap Power Transformer</t>
  </si>
  <si>
    <t>SHAR JAHAN TRADERS</t>
  </si>
  <si>
    <t>DR2640100023</t>
  </si>
  <si>
    <t>17.08.2026</t>
  </si>
  <si>
    <t>Scrap of 132 KV CT</t>
  </si>
  <si>
    <t>DR2640100031</t>
  </si>
  <si>
    <t>Scrap of 145 KV CB</t>
  </si>
  <si>
    <t>DR2640100032</t>
  </si>
  <si>
    <t>Scrap of 220KV CT</t>
  </si>
  <si>
    <t>DR2640100033</t>
  </si>
  <si>
    <t>Scrap of empty oil drums</t>
  </si>
  <si>
    <t>STERLING ENTERPRISES</t>
  </si>
  <si>
    <t>DR2640100018</t>
  </si>
  <si>
    <t>SCRAP POWER TRANSFORMER</t>
  </si>
  <si>
    <t>DR2640100024</t>
  </si>
  <si>
    <t>Scrap of empty oil Druam</t>
  </si>
  <si>
    <t>HIND TRADERS</t>
  </si>
  <si>
    <t>DR2640100026</t>
  </si>
  <si>
    <t>Scrap of empty oil Barrel</t>
  </si>
  <si>
    <t>DR2640100019</t>
  </si>
  <si>
    <t>Scrap of empty oil Barrels</t>
  </si>
  <si>
    <t>DR2640100020</t>
  </si>
  <si>
    <t>Scrap of 220 KV Circuit Breaker</t>
  </si>
  <si>
    <t>DR2640100034</t>
  </si>
  <si>
    <t>DR2640100035</t>
  </si>
  <si>
    <t>SCRAP 80MM² AAAC EARTHWIRE</t>
  </si>
  <si>
    <t>10.08.2026</t>
  </si>
  <si>
    <t>DR2640100017</t>
  </si>
  <si>
    <t>12.08.2026</t>
  </si>
  <si>
    <t>NATIONAL SCRAP AND BUILDING MATERIAL SUPPLIER</t>
  </si>
  <si>
    <t>21.08.2026</t>
  </si>
  <si>
    <t>DR2640100028</t>
  </si>
  <si>
    <t>DR2640100044</t>
  </si>
  <si>
    <t>DR2640100021</t>
  </si>
  <si>
    <t>DR2640100036</t>
  </si>
  <si>
    <t>Scrap Empty Oil Drum/ Barrel</t>
  </si>
  <si>
    <t>WATAN SCRAP TRADERS</t>
  </si>
  <si>
    <t>DR2640100042</t>
  </si>
  <si>
    <t>Scrap of 132 KV Wave Trap</t>
  </si>
  <si>
    <t>DR2640100037</t>
  </si>
  <si>
    <t>Mix Scrap (Tower angles &amp; 0.2 ACSR Condutor pieces)</t>
  </si>
  <si>
    <t>MT</t>
  </si>
  <si>
    <t>M I SCRAP TRADERS</t>
  </si>
  <si>
    <t>DR2640100043</t>
  </si>
  <si>
    <t>Scrap of 33 KV CT</t>
  </si>
  <si>
    <t>DR2640100038</t>
  </si>
  <si>
    <t>Scrap of AAAC Earth wire</t>
  </si>
  <si>
    <t>SAHARA ENTERPRISES</t>
  </si>
  <si>
    <t>DR2640100041</t>
  </si>
  <si>
    <t>Scrap of 220 KV CT</t>
  </si>
  <si>
    <t>DR2640100039</t>
  </si>
  <si>
    <t>Scrap of 33 KV GCB</t>
  </si>
  <si>
    <t>DR2640100046</t>
  </si>
  <si>
    <t>Scrap of Empty oil Barrels</t>
  </si>
  <si>
    <t>DR2640100022</t>
  </si>
  <si>
    <t>DR2640100027</t>
  </si>
  <si>
    <t>Scrap of 33 KV CB</t>
  </si>
  <si>
    <t>Scrap of 66 KV Isolater</t>
  </si>
  <si>
    <t>DR2640100040</t>
  </si>
  <si>
    <t>KASHYAP TRADING CO</t>
  </si>
  <si>
    <t>DR2640100025</t>
  </si>
  <si>
    <t>19.08.2026</t>
  </si>
  <si>
    <t>Scrap of 66 kv TBC C &amp; R Panel</t>
  </si>
  <si>
    <t>S M ENTERPRISES</t>
  </si>
  <si>
    <t>01.09.2026</t>
  </si>
  <si>
    <t>Bal SD O/s</t>
  </si>
  <si>
    <t>Bal FP O/s</t>
  </si>
  <si>
    <t>Lot Name</t>
  </si>
  <si>
    <t>Net Service charge</t>
  </si>
  <si>
    <t>04.09.2026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</si>
</sst>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\(#,##0\)"/>
    <numFmt numFmtId="165" formatCode="_ * #,##0_ ;_ * \-#,##0_ ;_ * \-??_ ;_ @_ "/>
  </numFmts>
  <fonts count="6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0"/>
      <color theme="1"/>
      <name val="Arial"/>
      <family val="2"/>
      <charset val="1"/>
    </font>
    <font>
      <sz val="10"/>
      <name val="Arial"/>
      <family val="2"/>
      <charset val="1"/>
    </font>
    <font>
      <sz val="10"/>
      <color theme="1"/>
      <name val="Arial"/>
      <family val="2"/>
      <charset val="1"/>
    </font>
    <font>
      <b/>
      <sz val="10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rgb="FFD0D0D0"/>
      </patternFill>
    </fill>
    <fill>
      <patternFill patternType="solid">
        <fgColor theme="0"/>
        <bgColor rgb="FFF4F9FD"/>
      </patternFill>
    </fill>
    <fill>
      <patternFill patternType="solid">
        <fgColor rgb="FFF4F9FD"/>
      </patternFill>
    </fill>
    <fill>
      <patternFill patternType="solid">
        <fgColor rgb="FFD9E2F3"/>
      </patternFill>
    </fill>
  </fills>
  <borders count="17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center" wrapText="1"/>
    </xf>
    <xf numFmtId="164" fontId="3" fillId="0" borderId="5" xfId="0" applyNumberFormat="1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164" fontId="3" fillId="0" borderId="5" xfId="0" applyNumberFormat="1" applyFont="1" applyBorder="1" applyAlignment="1">
      <alignment horizontal="right" vertical="center" wrapText="1"/>
    </xf>
    <xf numFmtId="164" fontId="3" fillId="0" borderId="5" xfId="0" applyNumberFormat="1" applyFont="1" applyBorder="1" applyAlignment="1">
      <alignment horizontal="right" vertical="center"/>
    </xf>
    <xf numFmtId="3" fontId="3" fillId="0" borderId="5" xfId="0" applyNumberFormat="1" applyFont="1" applyBorder="1" applyAlignment="1">
      <alignment horizontal="right" vertical="center"/>
    </xf>
    <xf numFmtId="9" fontId="3" fillId="0" borderId="5" xfId="0" applyNumberFormat="1" applyFont="1" applyBorder="1" applyAlignment="1">
      <alignment horizontal="right" vertical="center"/>
    </xf>
    <xf numFmtId="165" fontId="4" fillId="3" borderId="5" xfId="0" applyNumberFormat="1" applyFont="1" applyFill="1" applyBorder="1" applyAlignment="1">
      <alignment vertical="center"/>
    </xf>
    <xf numFmtId="164" fontId="3" fillId="3" borderId="5" xfId="0" applyNumberFormat="1" applyFont="1" applyFill="1" applyBorder="1" applyAlignment="1">
      <alignment horizontal="right" vertical="center"/>
    </xf>
    <xf numFmtId="164" fontId="3" fillId="3" borderId="6" xfId="0" applyNumberFormat="1" applyFont="1" applyFill="1" applyBorder="1" applyAlignment="1">
      <alignment horizontal="right" vertical="center"/>
    </xf>
    <xf numFmtId="1" fontId="3" fillId="3" borderId="6" xfId="0" applyNumberFormat="1" applyFont="1" applyFill="1" applyBorder="1" applyAlignment="1">
      <alignment horizontal="center" vertical="center"/>
    </xf>
    <xf numFmtId="164" fontId="3" fillId="3" borderId="7" xfId="0" applyNumberFormat="1" applyFont="1" applyFill="1" applyBorder="1" applyAlignment="1">
      <alignment horizontal="right" vertical="center"/>
    </xf>
    <xf numFmtId="0" fontId="3" fillId="4" borderId="8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left" vertical="center" wrapText="1"/>
    </xf>
    <xf numFmtId="164" fontId="3" fillId="4" borderId="6" xfId="0" applyNumberFormat="1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164" fontId="3" fillId="4" borderId="6" xfId="0" applyNumberFormat="1" applyFont="1" applyFill="1" applyBorder="1" applyAlignment="1">
      <alignment horizontal="right" vertical="center" wrapText="1"/>
    </xf>
    <xf numFmtId="164" fontId="3" fillId="4" borderId="6" xfId="0" applyNumberFormat="1" applyFont="1" applyFill="1" applyBorder="1" applyAlignment="1">
      <alignment horizontal="right" vertical="center"/>
    </xf>
    <xf numFmtId="3" fontId="3" fillId="4" borderId="6" xfId="0" applyNumberFormat="1" applyFont="1" applyFill="1" applyBorder="1" applyAlignment="1">
      <alignment horizontal="right" vertical="center"/>
    </xf>
    <xf numFmtId="9" fontId="3" fillId="4" borderId="6" xfId="0" applyNumberFormat="1" applyFont="1" applyFill="1" applyBorder="1" applyAlignment="1">
      <alignment horizontal="right" vertical="center"/>
    </xf>
    <xf numFmtId="165" fontId="4" fillId="4" borderId="6" xfId="0" applyNumberFormat="1" applyFont="1" applyFill="1" applyBorder="1" applyAlignment="1">
      <alignment vertical="center"/>
    </xf>
    <xf numFmtId="164" fontId="3" fillId="4" borderId="5" xfId="0" applyNumberFormat="1" applyFont="1" applyFill="1" applyBorder="1" applyAlignment="1">
      <alignment horizontal="right" vertical="center"/>
    </xf>
    <xf numFmtId="1" fontId="3" fillId="4" borderId="6" xfId="0" applyNumberFormat="1" applyFont="1" applyFill="1" applyBorder="1" applyAlignment="1">
      <alignment horizontal="center" vertical="center"/>
    </xf>
    <xf numFmtId="164" fontId="3" fillId="4" borderId="7" xfId="0" applyNumberFormat="1" applyFont="1" applyFill="1" applyBorder="1" applyAlignment="1">
      <alignment horizontal="right" vertical="center"/>
    </xf>
    <xf numFmtId="0" fontId="3" fillId="0" borderId="8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left" vertical="center" wrapText="1"/>
    </xf>
    <xf numFmtId="164" fontId="3" fillId="0" borderId="6" xfId="0" applyNumberFormat="1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164" fontId="3" fillId="0" borderId="6" xfId="0" applyNumberFormat="1" applyFont="1" applyBorder="1" applyAlignment="1">
      <alignment horizontal="right" vertical="center" wrapText="1"/>
    </xf>
    <xf numFmtId="164" fontId="3" fillId="0" borderId="6" xfId="0" applyNumberFormat="1" applyFont="1" applyBorder="1" applyAlignment="1">
      <alignment horizontal="right" vertical="center"/>
    </xf>
    <xf numFmtId="3" fontId="3" fillId="0" borderId="6" xfId="0" applyNumberFormat="1" applyFont="1" applyBorder="1" applyAlignment="1">
      <alignment horizontal="right" vertical="center"/>
    </xf>
    <xf numFmtId="9" fontId="3" fillId="0" borderId="6" xfId="0" applyNumberFormat="1" applyFont="1" applyBorder="1" applyAlignment="1">
      <alignment horizontal="right" vertical="center"/>
    </xf>
    <xf numFmtId="165" fontId="4" fillId="3" borderId="6" xfId="0" applyNumberFormat="1" applyFont="1" applyFill="1" applyBorder="1" applyAlignment="1">
      <alignment vertical="center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left" vertical="center" wrapText="1"/>
    </xf>
    <xf numFmtId="164" fontId="3" fillId="0" borderId="10" xfId="0" applyNumberFormat="1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164" fontId="3" fillId="0" borderId="10" xfId="0" applyNumberFormat="1" applyFont="1" applyBorder="1" applyAlignment="1">
      <alignment horizontal="right" vertical="center" wrapText="1"/>
    </xf>
    <xf numFmtId="164" fontId="3" fillId="0" borderId="10" xfId="0" applyNumberFormat="1" applyFont="1" applyBorder="1" applyAlignment="1">
      <alignment horizontal="right" vertical="center"/>
    </xf>
    <xf numFmtId="3" fontId="3" fillId="0" borderId="10" xfId="0" applyNumberFormat="1" applyFont="1" applyBorder="1" applyAlignment="1">
      <alignment horizontal="right" vertical="center"/>
    </xf>
    <xf numFmtId="9" fontId="3" fillId="0" borderId="10" xfId="0" applyNumberFormat="1" applyFont="1" applyBorder="1" applyAlignment="1">
      <alignment horizontal="right" vertical="center"/>
    </xf>
    <xf numFmtId="165" fontId="4" fillId="3" borderId="10" xfId="0" applyNumberFormat="1" applyFont="1" applyFill="1" applyBorder="1" applyAlignment="1">
      <alignment vertical="center"/>
    </xf>
    <xf numFmtId="0" fontId="1" fillId="5" borderId="11" xfId="0" applyFont="1" applyFill="1" applyBorder="1"/>
    <xf numFmtId="0" fontId="1" fillId="5" borderId="12" xfId="0" applyFont="1" applyFill="1" applyBorder="1"/>
    <xf numFmtId="164" fontId="5" fillId="5" borderId="12" xfId="0" applyNumberFormat="1" applyFont="1" applyFill="1" applyBorder="1" applyAlignment="1">
      <alignment horizontal="right" vertical="center" wrapText="1"/>
    </xf>
    <xf numFmtId="164" fontId="5" fillId="5" borderId="12" xfId="0" applyNumberFormat="1" applyFont="1" applyFill="1" applyBorder="1" applyAlignment="1">
      <alignment horizontal="right" vertical="center"/>
    </xf>
    <xf numFmtId="0" fontId="1" fillId="5" borderId="13" xfId="0" applyFont="1" applyFill="1" applyBorder="1"/>
    <xf numFmtId="0" fontId="0" fillId="0" borderId="14" xfId="0" applyBorder="1"/>
    <xf numFmtId="0" fontId="0" fillId="0" borderId="15" xfId="0" applyBorder="1"/>
    <xf numFmtId="164" fontId="3" fillId="0" borderId="15" xfId="0" applyNumberFormat="1" applyFont="1" applyBorder="1" applyAlignment="1">
      <alignment horizontal="right" vertical="center" wrapText="1"/>
    </xf>
    <xf numFmtId="164" fontId="3" fillId="0" borderId="15" xfId="0" applyNumberFormat="1" applyFont="1" applyBorder="1" applyAlignment="1">
      <alignment horizontal="right" vertical="center"/>
    </xf>
    <xf numFmtId="3" fontId="3" fillId="0" borderId="15" xfId="0" applyNumberFormat="1" applyFont="1" applyBorder="1" applyAlignment="1">
      <alignment horizontal="right" vertical="center"/>
    </xf>
    <xf numFmtId="164" fontId="4" fillId="0" borderId="15" xfId="0" applyNumberFormat="1" applyFont="1" applyBorder="1"/>
    <xf numFmtId="165" fontId="4" fillId="3" borderId="15" xfId="0" applyNumberFormat="1" applyFont="1" applyFill="1" applyBorder="1" applyAlignment="1">
      <alignment horizontal="right" vertical="center"/>
    </xf>
    <xf numFmtId="164" fontId="0" fillId="0" borderId="15" xfId="0" applyNumberFormat="1" applyBorder="1"/>
    <xf numFmtId="0" fontId="0" fillId="0" borderId="16" xfId="0" applyBorder="1"/>
    <xf numFmtId="164" fontId="0" fillId="0" borderId="0" xfId="0" applyNumberFormat="1"/>
    <xf numFmtId="0" fontId="0" fillId="0" borderId="0" xfId="0" applyAlignment="1">
      <alignment wrapText="1"/>
    </xf>
    <xf numFmtId="0" fontId="0" fillId="3" borderId="0" xfId="0" applyFill="1" applyAlignment="1">
      <alignment horizontal="right" vertical="center"/>
    </xf>
    <xf numFmtId="0" fontId="0" fillId="3" borderId="0" xfId="0" applyFill="1"/>
    <xf numFmtId="0" fontId="0" fillId="0" borderId="0" xfId="0" applyAlignment="1">
      <alignment horizontal="right"/>
    </xf>
    <xf numFmtId="164" fontId="0" fillId="3" borderId="0" xfId="0" applyNumberFormat="1" applyFill="1"/>
  </cellXfs>
  <cellStyles count="1">
    <cellStyle name="Normal" xfId="0" builtinId="0"/>
  </cellStyles>
  <dxfs count="39">
    <dxf>
      <font>
        <b/>
        <color rgb="FF1F3864"/>
      </font>
      <fill>
        <patternFill>
          <bgColor rgb="FFFFD966"/>
        </patternFill>
      </fill>
    </dxf>
    <dxf>
      <font>
        <b/>
        <color rgb="FF1F3864"/>
      </font>
      <fill>
        <patternFill>
          <bgColor rgb="FFFFD966"/>
        </patternFill>
      </fill>
    </dxf>
    <dxf>
      <font>
        <b/>
        <color rgb="FF1F3864"/>
      </font>
      <fill>
        <patternFill>
          <bgColor rgb="FFFFD966"/>
        </patternFill>
      </fill>
    </dxf>
    <dxf>
      <font>
        <b/>
        <color rgb="FF1F3864"/>
      </font>
      <fill>
        <patternFill>
          <bgColor rgb="FFFFD966"/>
        </patternFill>
      </fill>
    </dxf>
    <dxf>
      <font>
        <b/>
        <color rgb="FF1F3864"/>
      </font>
      <fill>
        <patternFill>
          <bgColor rgb="FFFFD966"/>
        </patternFill>
      </fill>
    </dxf>
    <dxf>
      <font>
        <b/>
        <color rgb="FF1F3864"/>
      </font>
      <fill>
        <patternFill>
          <bgColor rgb="FFFFD966"/>
        </patternFill>
      </fill>
    </dxf>
    <dxf>
      <font>
        <b/>
        <color rgb="FF1F3864"/>
      </font>
      <fill>
        <patternFill>
          <bgColor rgb="FFFFD966"/>
        </patternFill>
      </fill>
    </dxf>
    <dxf>
      <font>
        <b/>
        <color rgb="FF1F3864"/>
      </font>
      <fill>
        <patternFill>
          <bgColor rgb="FFFFD966"/>
        </patternFill>
      </fill>
    </dxf>
    <dxf>
      <font>
        <b/>
        <color rgb="FF1F3864"/>
      </font>
      <fill>
        <patternFill>
          <bgColor rgb="FFFFD966"/>
        </patternFill>
      </fill>
    </dxf>
    <dxf>
      <font>
        <b/>
        <color rgb="FF1F3864"/>
      </font>
      <fill>
        <patternFill>
          <bgColor rgb="FFFFD966"/>
        </patternFill>
      </fill>
    </dxf>
    <dxf>
      <font>
        <b/>
        <color rgb="FF1F3864"/>
      </font>
      <fill>
        <patternFill>
          <bgColor rgb="FFFFD966"/>
        </patternFill>
      </fill>
    </dxf>
    <dxf>
      <font>
        <b/>
        <color rgb="FF1F3864"/>
      </font>
      <fill>
        <patternFill>
          <bgColor rgb="FFFFD966"/>
        </patternFill>
      </fill>
    </dxf>
    <dxf>
      <font>
        <b/>
        <color rgb="FF1F3864"/>
      </font>
      <fill>
        <patternFill>
          <bgColor rgb="FFFFD966"/>
        </patternFill>
      </fill>
    </dxf>
    <dxf>
      <font>
        <b/>
        <color rgb="FF1F3864"/>
      </font>
      <fill>
        <patternFill>
          <bgColor rgb="FFFFD966"/>
        </patternFill>
      </fill>
    </dxf>
    <dxf>
      <font>
        <b/>
        <color rgb="FF1F3864"/>
      </font>
      <fill>
        <patternFill>
          <bgColor rgb="FFFFD966"/>
        </patternFill>
      </fill>
    </dxf>
    <dxf>
      <font>
        <b/>
        <color rgb="FF1F3864"/>
      </font>
      <fill>
        <patternFill>
          <bgColor rgb="FFFFD966"/>
        </patternFill>
      </fill>
    </dxf>
    <dxf>
      <font>
        <b/>
        <color rgb="FF1F3864"/>
      </font>
      <fill>
        <patternFill>
          <bgColor rgb="FFFFD966"/>
        </patternFill>
      </fill>
    </dxf>
    <dxf>
      <font>
        <b/>
        <color rgb="FF1F3864"/>
      </font>
      <fill>
        <patternFill>
          <bgColor rgb="FFFFD966"/>
        </patternFill>
      </fill>
    </dxf>
    <dxf>
      <font>
        <b/>
        <color rgb="FF1F3864"/>
      </font>
      <fill>
        <patternFill>
          <bgColor rgb="FFFFD966"/>
        </patternFill>
      </fill>
    </dxf>
    <dxf>
      <font>
        <b/>
        <color rgb="FF1F3864"/>
      </font>
      <fill>
        <patternFill>
          <bgColor rgb="FFFFD966"/>
        </patternFill>
      </fill>
    </dxf>
    <dxf>
      <font>
        <b/>
        <color rgb="FF1F3864"/>
      </font>
      <fill>
        <patternFill>
          <bgColor rgb="FFFFD966"/>
        </patternFill>
      </fill>
    </dxf>
    <dxf>
      <font>
        <b/>
        <color rgb="FF1F3864"/>
      </font>
      <fill>
        <patternFill>
          <bgColor rgb="FFFFD966"/>
        </patternFill>
      </fill>
    </dxf>
    <dxf>
      <font>
        <b/>
        <color rgb="FF1F3864"/>
      </font>
      <fill>
        <patternFill>
          <bgColor rgb="FFFFD966"/>
        </patternFill>
      </fill>
    </dxf>
    <dxf>
      <font>
        <b/>
        <color rgb="FF1F3864"/>
      </font>
      <fill>
        <patternFill>
          <bgColor rgb="FFFFD966"/>
        </patternFill>
      </fill>
    </dxf>
    <dxf>
      <font>
        <b/>
        <color rgb="FF1F3864"/>
      </font>
      <fill>
        <patternFill>
          <bgColor rgb="FFFFD966"/>
        </patternFill>
      </fill>
    </dxf>
    <dxf>
      <font>
        <b/>
        <color rgb="FF1F3864"/>
      </font>
      <fill>
        <patternFill>
          <bgColor rgb="FFFFD966"/>
        </patternFill>
      </fill>
    </dxf>
    <dxf>
      <font>
        <b/>
        <color rgb="FF1F3864"/>
      </font>
      <fill>
        <patternFill>
          <bgColor rgb="FFFFD966"/>
        </patternFill>
      </fill>
    </dxf>
    <dxf>
      <font>
        <b/>
        <color rgb="FF1F3864"/>
      </font>
      <fill>
        <patternFill>
          <bgColor rgb="FFFFD966"/>
        </patternFill>
      </fill>
    </dxf>
    <dxf>
      <font>
        <b/>
        <color rgb="FF1F3864"/>
      </font>
      <fill>
        <patternFill>
          <bgColor rgb="FFFFD966"/>
        </patternFill>
      </fill>
    </dxf>
    <dxf>
      <font>
        <b/>
        <color rgb="FF1F3864"/>
      </font>
      <fill>
        <patternFill>
          <bgColor rgb="FFFFD966"/>
        </patternFill>
      </fill>
    </dxf>
    <dxf>
      <font>
        <b/>
        <color rgb="FF1F3864"/>
      </font>
      <fill>
        <patternFill>
          <bgColor rgb="FFFFD966"/>
        </patternFill>
      </fill>
    </dxf>
    <dxf>
      <font>
        <b/>
        <color rgb="FF1F3864"/>
      </font>
      <fill>
        <patternFill>
          <bgColor rgb="FFFFD966"/>
        </patternFill>
      </fill>
    </dxf>
    <dxf>
      <font>
        <b/>
        <color rgb="FF1F3864"/>
      </font>
      <fill>
        <patternFill>
          <bgColor rgb="FFFFD966"/>
        </patternFill>
      </fill>
    </dxf>
    <dxf>
      <font>
        <b/>
        <color rgb="FF1F3864"/>
      </font>
      <fill>
        <patternFill>
          <bgColor rgb="FFFFD966"/>
        </patternFill>
      </fill>
    </dxf>
    <dxf>
      <font>
        <color rgb="FF666666"/>
      </font>
      <fill>
        <patternFill>
          <bgColor rgb="FFEDEDED"/>
        </patternFill>
      </fill>
    </dxf>
    <dxf>
      <font>
        <b/>
        <color rgb="FF1F3864"/>
      </font>
      <fill>
        <patternFill>
          <bgColor rgb="FFFFD966"/>
        </patternFill>
      </fill>
    </dxf>
    <dxf>
      <font>
        <color rgb="FF9C0006"/>
      </font>
      <fill>
        <patternFill patternType="solid">
          <fgColor rgb="FFFCE4E4"/>
        </patternFill>
      </fill>
    </dxf>
    <dxf>
      <font>
        <color rgb="FF375623"/>
      </font>
      <fill>
        <patternFill patternType="solid">
          <fgColor rgb="FFE2EFDA"/>
        </patternFill>
      </fill>
    </dxf>
    <dxf>
      <font>
        <color rgb="FF9C0006"/>
      </font>
      <fill>
        <patternFill patternType="solid">
          <fgColor rgb="FFFCE4E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iyus\Downloads\Unrepaired%20(18).xlsm" TargetMode="External"/><Relationship Id="rId1" Type="http://schemas.openxmlformats.org/officeDocument/2006/relationships/externalLinkPath" Target="Unrepaired%20(18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l Calculation Sheet"/>
      <sheetName val="Live Search"/>
      <sheetName val="Buyer Groups"/>
      <sheetName val="Lists"/>
      <sheetName val="LS_Backup"/>
    </sheetNames>
    <sheetDataSet>
      <sheetData sheetId="0"/>
      <sheetData sheetId="1"/>
      <sheetData sheetId="2"/>
      <sheetData sheetId="3">
        <row r="4">
          <cell r="A4"/>
          <cell r="I4"/>
          <cell r="J4"/>
          <cell r="GA4"/>
          <cell r="GB4"/>
          <cell r="GE4"/>
          <cell r="GF4"/>
          <cell r="GI4"/>
          <cell r="GJ4"/>
          <cell r="GM4"/>
          <cell r="GN4"/>
          <cell r="GQ4"/>
          <cell r="GR4"/>
          <cell r="GU4"/>
          <cell r="GV4"/>
          <cell r="GY4"/>
          <cell r="GZ4"/>
          <cell r="HC4"/>
          <cell r="HD4"/>
          <cell r="HG4"/>
          <cell r="HH4"/>
          <cell r="HK4"/>
          <cell r="HL4"/>
          <cell r="HO4"/>
          <cell r="HP4"/>
          <cell r="HS4"/>
          <cell r="HT4"/>
          <cell r="HW4"/>
          <cell r="HX4"/>
          <cell r="IA4"/>
          <cell r="IB4"/>
          <cell r="IE4"/>
          <cell r="IF4"/>
          <cell r="II4"/>
          <cell r="IJ4"/>
          <cell r="IM4"/>
          <cell r="IN4"/>
          <cell r="IQ4"/>
          <cell r="IR4"/>
          <cell r="IU4"/>
          <cell r="IV4"/>
          <cell r="IY4"/>
          <cell r="IZ4"/>
          <cell r="JC4"/>
          <cell r="JD4"/>
          <cell r="JG4"/>
          <cell r="JH4"/>
          <cell r="JK4"/>
          <cell r="JL4"/>
          <cell r="JO4"/>
          <cell r="JP4"/>
          <cell r="JS4"/>
          <cell r="JT4"/>
          <cell r="JW4"/>
          <cell r="JX4"/>
          <cell r="KA4"/>
          <cell r="KB4"/>
          <cell r="KE4"/>
          <cell r="KF4"/>
          <cell r="KI4"/>
          <cell r="KJ4"/>
          <cell r="KM4"/>
          <cell r="KN4"/>
          <cell r="KQ4"/>
          <cell r="KR4"/>
          <cell r="KU4"/>
          <cell r="KV4"/>
          <cell r="KY4"/>
          <cell r="KZ4"/>
          <cell r="LC4"/>
          <cell r="LD4"/>
          <cell r="LG4"/>
          <cell r="LH4"/>
          <cell r="LK4"/>
          <cell r="LL4"/>
          <cell r="LO4"/>
          <cell r="LP4"/>
          <cell r="LS4"/>
          <cell r="LT4"/>
          <cell r="LW4"/>
          <cell r="LX4"/>
          <cell r="MA4"/>
          <cell r="MB4"/>
          <cell r="ME4"/>
          <cell r="MF4"/>
          <cell r="MI4"/>
          <cell r="MJ4"/>
          <cell r="MM4"/>
          <cell r="MN4"/>
          <cell r="MQ4"/>
          <cell r="MR4"/>
          <cell r="MU4"/>
          <cell r="MV4"/>
          <cell r="MY4"/>
          <cell r="MZ4"/>
          <cell r="NC4"/>
          <cell r="ND4"/>
          <cell r="NG4"/>
          <cell r="NH4"/>
          <cell r="NK4"/>
          <cell r="NL4"/>
          <cell r="NO4"/>
          <cell r="NP4"/>
          <cell r="NS4"/>
          <cell r="NT4"/>
          <cell r="NW4"/>
          <cell r="NX4"/>
          <cell r="OA4"/>
          <cell r="OB4"/>
          <cell r="OE4"/>
          <cell r="OF4"/>
          <cell r="OI4"/>
          <cell r="OJ4"/>
          <cell r="OM4"/>
          <cell r="ON4"/>
          <cell r="OQ4"/>
          <cell r="OR4"/>
          <cell r="OU4"/>
          <cell r="OV4"/>
          <cell r="OY4"/>
          <cell r="OZ4"/>
          <cell r="PC4"/>
          <cell r="PD4"/>
          <cell r="PG4"/>
          <cell r="PH4"/>
          <cell r="PK4"/>
          <cell r="PL4"/>
          <cell r="PO4"/>
          <cell r="PP4"/>
          <cell r="PS4"/>
          <cell r="PT4"/>
          <cell r="PW4"/>
          <cell r="PX4"/>
          <cell r="QA4"/>
          <cell r="QB4"/>
          <cell r="QE4"/>
          <cell r="QF4"/>
          <cell r="QI4"/>
          <cell r="QJ4"/>
          <cell r="QR4"/>
          <cell r="QS4"/>
          <cell r="QV4"/>
          <cell r="QW4"/>
          <cell r="QZ4"/>
          <cell r="RA4"/>
          <cell r="RD4"/>
          <cell r="RE4"/>
          <cell r="RH4"/>
          <cell r="RI4"/>
          <cell r="RL4"/>
          <cell r="RM4"/>
          <cell r="RP4"/>
          <cell r="RQ4"/>
          <cell r="RT4"/>
          <cell r="RU4"/>
          <cell r="RX4"/>
          <cell r="RY4"/>
          <cell r="SB4"/>
          <cell r="SC4"/>
          <cell r="SF4"/>
          <cell r="SG4"/>
          <cell r="SJ4"/>
          <cell r="SK4"/>
          <cell r="SN4"/>
          <cell r="SO4"/>
          <cell r="SR4"/>
          <cell r="SS4"/>
          <cell r="SV4"/>
          <cell r="SW4"/>
          <cell r="SZ4"/>
          <cell r="TA4"/>
          <cell r="TD4"/>
          <cell r="TE4"/>
          <cell r="TH4"/>
          <cell r="TI4"/>
          <cell r="TL4"/>
          <cell r="TM4"/>
          <cell r="TP4"/>
          <cell r="TQ4"/>
          <cell r="TT4"/>
          <cell r="TU4"/>
          <cell r="TX4"/>
          <cell r="TY4"/>
          <cell r="UB4"/>
          <cell r="UC4"/>
          <cell r="UF4"/>
          <cell r="UG4"/>
          <cell r="UJ4"/>
          <cell r="UK4"/>
          <cell r="UN4"/>
          <cell r="UO4"/>
          <cell r="UR4"/>
          <cell r="US4"/>
          <cell r="UV4"/>
          <cell r="UW4"/>
          <cell r="UZ4"/>
          <cell r="VA4"/>
          <cell r="VD4"/>
          <cell r="VE4"/>
          <cell r="VH4"/>
          <cell r="VI4"/>
          <cell r="VL4"/>
          <cell r="VM4"/>
          <cell r="VP4"/>
          <cell r="VQ4"/>
          <cell r="VT4"/>
          <cell r="VU4"/>
        </row>
        <row r="5">
          <cell r="A5"/>
          <cell r="I5"/>
          <cell r="J5"/>
          <cell r="GA5"/>
          <cell r="GB5"/>
          <cell r="GE5"/>
          <cell r="GF5"/>
          <cell r="GI5"/>
          <cell r="GJ5"/>
          <cell r="GM5"/>
          <cell r="GN5"/>
          <cell r="GQ5"/>
          <cell r="GR5"/>
          <cell r="GU5"/>
          <cell r="GV5"/>
          <cell r="GY5"/>
          <cell r="GZ5"/>
          <cell r="HC5"/>
          <cell r="HD5"/>
          <cell r="HG5"/>
          <cell r="HH5"/>
          <cell r="HK5"/>
          <cell r="HL5"/>
          <cell r="HO5"/>
          <cell r="HP5"/>
          <cell r="HS5"/>
          <cell r="HT5"/>
          <cell r="HW5"/>
          <cell r="HX5"/>
          <cell r="IA5"/>
          <cell r="IB5"/>
          <cell r="IE5"/>
          <cell r="IF5"/>
          <cell r="II5"/>
          <cell r="IJ5"/>
          <cell r="IM5"/>
          <cell r="IN5"/>
          <cell r="IQ5"/>
          <cell r="IR5"/>
          <cell r="IU5"/>
          <cell r="IV5"/>
          <cell r="IY5"/>
          <cell r="IZ5"/>
          <cell r="JC5"/>
          <cell r="JD5"/>
          <cell r="JG5"/>
          <cell r="JH5"/>
          <cell r="JK5"/>
          <cell r="JL5"/>
          <cell r="JO5"/>
          <cell r="JP5"/>
          <cell r="JS5"/>
          <cell r="JT5"/>
          <cell r="JW5"/>
          <cell r="JX5"/>
          <cell r="KA5"/>
          <cell r="KB5"/>
          <cell r="KE5"/>
          <cell r="KF5"/>
          <cell r="KI5"/>
          <cell r="KJ5"/>
          <cell r="KM5"/>
          <cell r="KN5"/>
          <cell r="KQ5"/>
          <cell r="KR5"/>
          <cell r="KU5"/>
          <cell r="KV5"/>
          <cell r="KY5"/>
          <cell r="KZ5"/>
          <cell r="LC5"/>
          <cell r="LD5"/>
          <cell r="LG5"/>
          <cell r="LH5"/>
          <cell r="LK5"/>
          <cell r="LL5"/>
          <cell r="LO5"/>
          <cell r="LP5"/>
          <cell r="LS5"/>
          <cell r="LT5"/>
          <cell r="LW5"/>
          <cell r="LX5"/>
          <cell r="MA5"/>
          <cell r="MB5"/>
          <cell r="ME5"/>
          <cell r="MF5"/>
          <cell r="MI5"/>
          <cell r="MJ5"/>
          <cell r="MM5"/>
          <cell r="MN5"/>
          <cell r="MQ5"/>
          <cell r="MR5"/>
          <cell r="MU5"/>
          <cell r="MV5"/>
          <cell r="MY5"/>
          <cell r="MZ5"/>
          <cell r="NC5"/>
          <cell r="ND5"/>
          <cell r="NG5"/>
          <cell r="NH5"/>
          <cell r="NK5"/>
          <cell r="NL5"/>
          <cell r="NO5"/>
          <cell r="NP5"/>
          <cell r="NS5"/>
          <cell r="NT5"/>
          <cell r="NW5"/>
          <cell r="NX5"/>
          <cell r="OA5"/>
          <cell r="OB5"/>
          <cell r="OE5"/>
          <cell r="OF5"/>
          <cell r="OI5"/>
          <cell r="OJ5"/>
          <cell r="OM5"/>
          <cell r="ON5"/>
          <cell r="OQ5"/>
          <cell r="OR5"/>
          <cell r="OU5"/>
          <cell r="OV5"/>
          <cell r="OY5"/>
          <cell r="OZ5"/>
          <cell r="PC5"/>
          <cell r="PD5"/>
          <cell r="PG5"/>
          <cell r="PH5"/>
          <cell r="PK5"/>
          <cell r="PL5"/>
          <cell r="PO5"/>
          <cell r="PP5"/>
          <cell r="PS5"/>
          <cell r="PT5"/>
          <cell r="PW5"/>
          <cell r="PX5"/>
          <cell r="QA5"/>
          <cell r="QB5"/>
          <cell r="QE5"/>
          <cell r="QF5"/>
          <cell r="QI5"/>
          <cell r="QJ5"/>
          <cell r="QR5"/>
          <cell r="QS5"/>
          <cell r="QV5"/>
          <cell r="QW5"/>
          <cell r="QZ5"/>
          <cell r="RA5"/>
          <cell r="RD5"/>
          <cell r="RE5"/>
          <cell r="RH5"/>
          <cell r="RI5"/>
          <cell r="RL5"/>
          <cell r="RM5"/>
          <cell r="RP5"/>
          <cell r="RQ5"/>
          <cell r="RT5"/>
          <cell r="RU5"/>
          <cell r="RX5"/>
          <cell r="RY5"/>
          <cell r="SB5"/>
          <cell r="SC5"/>
          <cell r="SF5"/>
          <cell r="SG5"/>
          <cell r="SJ5"/>
          <cell r="SK5"/>
          <cell r="SN5"/>
          <cell r="SO5"/>
          <cell r="SR5"/>
          <cell r="SS5"/>
          <cell r="SV5"/>
          <cell r="SW5"/>
          <cell r="SZ5"/>
          <cell r="TA5"/>
          <cell r="TD5"/>
          <cell r="TE5"/>
          <cell r="TH5"/>
          <cell r="TI5"/>
          <cell r="TL5"/>
          <cell r="TM5"/>
          <cell r="TP5"/>
          <cell r="TQ5"/>
          <cell r="TT5"/>
          <cell r="TU5"/>
          <cell r="TX5"/>
          <cell r="TY5"/>
          <cell r="UB5"/>
          <cell r="UC5"/>
          <cell r="UF5"/>
          <cell r="UG5"/>
          <cell r="UJ5"/>
          <cell r="UK5"/>
          <cell r="UN5"/>
          <cell r="UO5"/>
          <cell r="UR5"/>
          <cell r="US5"/>
          <cell r="UV5"/>
          <cell r="UW5"/>
          <cell r="UZ5"/>
          <cell r="VA5"/>
          <cell r="VD5"/>
          <cell r="VE5"/>
          <cell r="VH5"/>
          <cell r="VI5"/>
          <cell r="VL5"/>
          <cell r="VM5"/>
          <cell r="VP5"/>
          <cell r="VQ5"/>
          <cell r="VT5"/>
          <cell r="VU5"/>
        </row>
        <row r="6">
          <cell r="A6"/>
          <cell r="I6"/>
          <cell r="J6"/>
          <cell r="GA6"/>
          <cell r="GB6"/>
          <cell r="GE6"/>
          <cell r="GF6"/>
          <cell r="GI6"/>
          <cell r="GJ6"/>
          <cell r="GM6"/>
          <cell r="GN6"/>
          <cell r="GQ6"/>
          <cell r="GR6"/>
          <cell r="GU6"/>
          <cell r="GV6"/>
          <cell r="GY6"/>
          <cell r="GZ6"/>
          <cell r="HC6"/>
          <cell r="HD6"/>
          <cell r="HG6"/>
          <cell r="HH6"/>
          <cell r="HK6"/>
          <cell r="HL6"/>
          <cell r="HO6"/>
          <cell r="HP6"/>
          <cell r="HS6"/>
          <cell r="HT6"/>
          <cell r="HW6"/>
          <cell r="HX6"/>
          <cell r="IA6"/>
          <cell r="IB6"/>
          <cell r="IE6"/>
          <cell r="IF6"/>
          <cell r="II6"/>
          <cell r="IJ6"/>
          <cell r="IM6"/>
          <cell r="IN6"/>
          <cell r="IQ6"/>
          <cell r="IR6"/>
          <cell r="IU6"/>
          <cell r="IV6"/>
          <cell r="IY6"/>
          <cell r="IZ6"/>
          <cell r="JC6"/>
          <cell r="JD6"/>
          <cell r="JG6"/>
          <cell r="JH6"/>
          <cell r="JK6"/>
          <cell r="JL6"/>
          <cell r="JO6"/>
          <cell r="JP6"/>
          <cell r="JS6"/>
          <cell r="JT6"/>
          <cell r="JW6"/>
          <cell r="JX6"/>
          <cell r="KA6"/>
          <cell r="KB6"/>
          <cell r="KE6"/>
          <cell r="KF6"/>
          <cell r="KI6"/>
          <cell r="KJ6"/>
          <cell r="KM6"/>
          <cell r="KN6"/>
          <cell r="KQ6"/>
          <cell r="KR6"/>
          <cell r="KU6"/>
          <cell r="KV6"/>
          <cell r="KY6"/>
          <cell r="KZ6"/>
          <cell r="LC6"/>
          <cell r="LD6"/>
          <cell r="LG6"/>
          <cell r="LH6"/>
          <cell r="LK6"/>
          <cell r="LL6"/>
          <cell r="LO6"/>
          <cell r="LP6"/>
          <cell r="LS6"/>
          <cell r="LT6"/>
          <cell r="LW6"/>
          <cell r="LX6"/>
          <cell r="MA6"/>
          <cell r="MB6"/>
          <cell r="ME6"/>
          <cell r="MF6"/>
          <cell r="MI6"/>
          <cell r="MJ6"/>
          <cell r="MM6"/>
          <cell r="MN6"/>
          <cell r="MQ6"/>
          <cell r="MR6"/>
          <cell r="MU6"/>
          <cell r="MV6"/>
          <cell r="MY6"/>
          <cell r="MZ6"/>
          <cell r="NC6"/>
          <cell r="ND6"/>
          <cell r="NG6"/>
          <cell r="NH6"/>
          <cell r="NK6"/>
          <cell r="NL6"/>
          <cell r="NO6"/>
          <cell r="NP6"/>
          <cell r="NS6"/>
          <cell r="NT6"/>
          <cell r="NW6"/>
          <cell r="NX6"/>
          <cell r="OA6"/>
          <cell r="OB6"/>
          <cell r="OE6"/>
          <cell r="OF6"/>
          <cell r="OI6"/>
          <cell r="OJ6"/>
          <cell r="OM6"/>
          <cell r="ON6"/>
          <cell r="OQ6"/>
          <cell r="OR6"/>
          <cell r="OU6"/>
          <cell r="OV6"/>
          <cell r="OY6"/>
          <cell r="OZ6"/>
          <cell r="PC6"/>
          <cell r="PD6"/>
          <cell r="PG6"/>
          <cell r="PH6"/>
          <cell r="PK6"/>
          <cell r="PL6"/>
          <cell r="PO6"/>
          <cell r="PP6"/>
          <cell r="PS6"/>
          <cell r="PT6"/>
          <cell r="PW6"/>
          <cell r="PX6"/>
          <cell r="QA6"/>
          <cell r="QB6"/>
          <cell r="QE6"/>
          <cell r="QF6"/>
          <cell r="QI6"/>
          <cell r="QJ6"/>
          <cell r="QR6"/>
          <cell r="QS6"/>
          <cell r="QV6"/>
          <cell r="QW6"/>
          <cell r="QZ6"/>
          <cell r="RA6"/>
          <cell r="RD6"/>
          <cell r="RE6"/>
          <cell r="RH6"/>
          <cell r="RI6"/>
          <cell r="RL6"/>
          <cell r="RM6"/>
          <cell r="RP6"/>
          <cell r="RQ6"/>
          <cell r="RT6"/>
          <cell r="RU6"/>
          <cell r="RX6"/>
          <cell r="RY6"/>
          <cell r="SB6"/>
          <cell r="SC6"/>
          <cell r="SF6"/>
          <cell r="SG6"/>
          <cell r="SJ6"/>
          <cell r="SK6"/>
          <cell r="SN6"/>
          <cell r="SO6"/>
          <cell r="SR6"/>
          <cell r="SS6"/>
          <cell r="SV6"/>
          <cell r="SW6"/>
          <cell r="SZ6"/>
          <cell r="TA6"/>
          <cell r="TD6"/>
          <cell r="TE6"/>
          <cell r="TH6"/>
          <cell r="TI6"/>
          <cell r="TL6"/>
          <cell r="TM6"/>
          <cell r="TP6"/>
          <cell r="TQ6"/>
          <cell r="TT6"/>
          <cell r="TU6"/>
          <cell r="TX6"/>
          <cell r="TY6"/>
          <cell r="UB6"/>
          <cell r="UC6"/>
          <cell r="UF6"/>
          <cell r="UG6"/>
          <cell r="UJ6"/>
          <cell r="UK6"/>
          <cell r="UN6"/>
          <cell r="UO6"/>
          <cell r="UR6"/>
          <cell r="US6"/>
          <cell r="UV6"/>
          <cell r="UW6"/>
          <cell r="UZ6"/>
          <cell r="VA6"/>
          <cell r="VD6"/>
          <cell r="VE6"/>
          <cell r="VH6"/>
          <cell r="VI6"/>
          <cell r="VL6"/>
          <cell r="VM6"/>
          <cell r="VP6"/>
          <cell r="VQ6"/>
          <cell r="VT6"/>
          <cell r="VU6"/>
        </row>
        <row r="7">
          <cell r="A7"/>
          <cell r="I7"/>
          <cell r="J7"/>
          <cell r="GA7"/>
          <cell r="GB7"/>
          <cell r="GE7"/>
          <cell r="GF7"/>
          <cell r="GI7"/>
          <cell r="GJ7"/>
          <cell r="GM7"/>
          <cell r="GN7"/>
          <cell r="GQ7"/>
          <cell r="GR7"/>
          <cell r="GU7"/>
          <cell r="GV7"/>
          <cell r="GY7"/>
          <cell r="GZ7"/>
          <cell r="HC7"/>
          <cell r="HD7"/>
          <cell r="HG7"/>
          <cell r="HH7"/>
          <cell r="HK7"/>
          <cell r="HL7"/>
          <cell r="HO7"/>
          <cell r="HP7"/>
          <cell r="HS7"/>
          <cell r="HT7"/>
          <cell r="HW7"/>
          <cell r="HX7"/>
          <cell r="IA7"/>
          <cell r="IB7"/>
          <cell r="IE7"/>
          <cell r="IF7"/>
          <cell r="II7"/>
          <cell r="IJ7"/>
          <cell r="IM7"/>
          <cell r="IN7"/>
          <cell r="IQ7"/>
          <cell r="IR7"/>
          <cell r="IU7"/>
          <cell r="IV7"/>
          <cell r="IY7"/>
          <cell r="IZ7"/>
          <cell r="JC7"/>
          <cell r="JD7"/>
          <cell r="JG7"/>
          <cell r="JH7"/>
          <cell r="JK7"/>
          <cell r="JL7"/>
          <cell r="JO7"/>
          <cell r="JP7"/>
          <cell r="JS7"/>
          <cell r="JT7"/>
          <cell r="JW7"/>
          <cell r="JX7"/>
          <cell r="KA7"/>
          <cell r="KB7"/>
          <cell r="KE7"/>
          <cell r="KF7"/>
          <cell r="KI7"/>
          <cell r="KJ7"/>
          <cell r="KM7"/>
          <cell r="KN7"/>
          <cell r="KQ7"/>
          <cell r="KR7"/>
          <cell r="KU7"/>
          <cell r="KV7"/>
          <cell r="KY7"/>
          <cell r="KZ7"/>
          <cell r="LC7"/>
          <cell r="LD7"/>
          <cell r="LG7"/>
          <cell r="LH7"/>
          <cell r="LK7"/>
          <cell r="LL7"/>
          <cell r="LO7"/>
          <cell r="LP7"/>
          <cell r="LS7"/>
          <cell r="LT7"/>
          <cell r="LW7"/>
          <cell r="LX7"/>
          <cell r="MA7"/>
          <cell r="MB7"/>
          <cell r="ME7"/>
          <cell r="MF7"/>
          <cell r="MI7"/>
          <cell r="MJ7"/>
          <cell r="MM7"/>
          <cell r="MN7"/>
          <cell r="MQ7"/>
          <cell r="MR7"/>
          <cell r="MU7"/>
          <cell r="MV7"/>
          <cell r="MY7"/>
          <cell r="MZ7"/>
          <cell r="NC7"/>
          <cell r="ND7"/>
          <cell r="NG7"/>
          <cell r="NH7"/>
          <cell r="NK7"/>
          <cell r="NL7"/>
          <cell r="NO7"/>
          <cell r="NP7"/>
          <cell r="NS7"/>
          <cell r="NT7"/>
          <cell r="NW7"/>
          <cell r="NX7"/>
          <cell r="OA7"/>
          <cell r="OB7"/>
          <cell r="OE7"/>
          <cell r="OF7"/>
          <cell r="OI7"/>
          <cell r="OJ7"/>
          <cell r="OM7"/>
          <cell r="ON7"/>
          <cell r="OQ7"/>
          <cell r="OR7"/>
          <cell r="OU7"/>
          <cell r="OV7"/>
          <cell r="OY7"/>
          <cell r="OZ7"/>
          <cell r="PC7"/>
          <cell r="PD7"/>
          <cell r="PG7"/>
          <cell r="PH7"/>
          <cell r="PK7"/>
          <cell r="PL7"/>
          <cell r="PO7"/>
          <cell r="PP7"/>
          <cell r="PS7"/>
          <cell r="PT7"/>
          <cell r="PW7"/>
          <cell r="PX7"/>
          <cell r="QA7"/>
          <cell r="QB7"/>
          <cell r="QE7"/>
          <cell r="QF7"/>
          <cell r="QI7"/>
          <cell r="QJ7"/>
          <cell r="QR7"/>
          <cell r="QS7"/>
          <cell r="QV7"/>
          <cell r="QW7"/>
          <cell r="QZ7"/>
          <cell r="RA7"/>
          <cell r="RD7"/>
          <cell r="RE7"/>
          <cell r="RH7"/>
          <cell r="RI7"/>
          <cell r="RL7"/>
          <cell r="RM7"/>
          <cell r="RP7"/>
          <cell r="RQ7"/>
          <cell r="RT7"/>
          <cell r="RU7"/>
          <cell r="RX7"/>
          <cell r="RY7"/>
          <cell r="SB7"/>
          <cell r="SC7"/>
          <cell r="SF7"/>
          <cell r="SG7"/>
          <cell r="SJ7"/>
          <cell r="SK7"/>
          <cell r="SN7"/>
          <cell r="SO7"/>
          <cell r="SR7"/>
          <cell r="SS7"/>
          <cell r="SV7"/>
          <cell r="SW7"/>
          <cell r="SZ7"/>
          <cell r="TA7"/>
          <cell r="TD7"/>
          <cell r="TE7"/>
          <cell r="TH7"/>
          <cell r="TI7"/>
          <cell r="TL7"/>
          <cell r="TM7"/>
          <cell r="TP7"/>
          <cell r="TQ7"/>
          <cell r="TT7"/>
          <cell r="TU7"/>
          <cell r="TX7"/>
          <cell r="TY7"/>
          <cell r="UB7"/>
          <cell r="UC7"/>
          <cell r="UF7"/>
          <cell r="UG7"/>
          <cell r="UJ7"/>
          <cell r="UK7"/>
          <cell r="UN7"/>
          <cell r="UO7"/>
          <cell r="UR7"/>
          <cell r="US7"/>
          <cell r="UV7"/>
          <cell r="UW7"/>
          <cell r="UZ7"/>
          <cell r="VA7"/>
          <cell r="VD7"/>
          <cell r="VE7"/>
          <cell r="VH7"/>
          <cell r="VI7"/>
          <cell r="VL7"/>
          <cell r="VM7"/>
          <cell r="VP7"/>
          <cell r="VQ7"/>
          <cell r="VT7"/>
          <cell r="VU7"/>
        </row>
        <row r="8">
          <cell r="A8"/>
          <cell r="I8"/>
          <cell r="J8"/>
          <cell r="GA8"/>
          <cell r="GB8"/>
          <cell r="GE8"/>
          <cell r="GF8"/>
          <cell r="GI8"/>
          <cell r="GJ8"/>
          <cell r="GM8"/>
          <cell r="GN8"/>
          <cell r="GQ8"/>
          <cell r="GR8"/>
          <cell r="GU8"/>
          <cell r="GV8"/>
          <cell r="GY8"/>
          <cell r="GZ8"/>
          <cell r="HC8"/>
          <cell r="HD8"/>
          <cell r="HG8"/>
          <cell r="HH8"/>
          <cell r="HK8"/>
          <cell r="HL8"/>
          <cell r="HO8"/>
          <cell r="HP8"/>
          <cell r="HS8"/>
          <cell r="HT8"/>
          <cell r="HW8"/>
          <cell r="HX8"/>
          <cell r="IA8"/>
          <cell r="IB8"/>
          <cell r="IE8"/>
          <cell r="IF8"/>
          <cell r="II8"/>
          <cell r="IJ8"/>
          <cell r="IM8"/>
          <cell r="IN8"/>
          <cell r="IQ8"/>
          <cell r="IR8"/>
          <cell r="IU8"/>
          <cell r="IV8"/>
          <cell r="IY8"/>
          <cell r="IZ8"/>
          <cell r="JC8"/>
          <cell r="JD8"/>
          <cell r="JG8"/>
          <cell r="JH8"/>
          <cell r="JK8"/>
          <cell r="JL8"/>
          <cell r="JO8"/>
          <cell r="JP8"/>
          <cell r="JS8"/>
          <cell r="JT8"/>
          <cell r="JW8"/>
          <cell r="JX8"/>
          <cell r="KA8"/>
          <cell r="KB8"/>
          <cell r="KE8"/>
          <cell r="KF8"/>
          <cell r="KI8"/>
          <cell r="KJ8"/>
          <cell r="KM8"/>
          <cell r="KN8"/>
          <cell r="KQ8"/>
          <cell r="KR8"/>
          <cell r="KU8"/>
          <cell r="KV8"/>
          <cell r="KY8"/>
          <cell r="KZ8"/>
          <cell r="LC8"/>
          <cell r="LD8"/>
          <cell r="LG8"/>
          <cell r="LH8"/>
          <cell r="LK8"/>
          <cell r="LL8"/>
          <cell r="LO8"/>
          <cell r="LP8"/>
          <cell r="LS8"/>
          <cell r="LT8"/>
          <cell r="LW8"/>
          <cell r="LX8"/>
          <cell r="MA8"/>
          <cell r="MB8"/>
          <cell r="ME8"/>
          <cell r="MF8"/>
          <cell r="MI8"/>
          <cell r="MJ8"/>
          <cell r="MM8"/>
          <cell r="MN8"/>
          <cell r="MQ8"/>
          <cell r="MR8"/>
          <cell r="MU8"/>
          <cell r="MV8"/>
          <cell r="MY8"/>
          <cell r="MZ8"/>
          <cell r="NC8"/>
          <cell r="ND8"/>
          <cell r="NG8"/>
          <cell r="NH8"/>
          <cell r="NK8"/>
          <cell r="NL8"/>
          <cell r="NO8"/>
          <cell r="NP8"/>
          <cell r="NS8"/>
          <cell r="NT8"/>
          <cell r="NW8"/>
          <cell r="NX8"/>
          <cell r="OA8"/>
          <cell r="OB8"/>
          <cell r="OE8"/>
          <cell r="OF8"/>
          <cell r="OI8"/>
          <cell r="OJ8"/>
          <cell r="OM8"/>
          <cell r="ON8"/>
          <cell r="OQ8"/>
          <cell r="OR8"/>
          <cell r="OU8"/>
          <cell r="OV8"/>
          <cell r="OY8"/>
          <cell r="OZ8"/>
          <cell r="PC8"/>
          <cell r="PD8"/>
          <cell r="PG8"/>
          <cell r="PH8"/>
          <cell r="PK8"/>
          <cell r="PL8"/>
          <cell r="PO8"/>
          <cell r="PP8"/>
          <cell r="PS8"/>
          <cell r="PT8"/>
          <cell r="PW8"/>
          <cell r="PX8"/>
          <cell r="QA8"/>
          <cell r="QB8"/>
          <cell r="QE8"/>
          <cell r="QF8"/>
          <cell r="QI8"/>
          <cell r="QJ8"/>
          <cell r="QR8"/>
          <cell r="QS8"/>
          <cell r="QV8"/>
          <cell r="QW8"/>
          <cell r="QZ8"/>
          <cell r="RA8"/>
          <cell r="RD8"/>
          <cell r="RE8"/>
          <cell r="RH8"/>
          <cell r="RI8"/>
          <cell r="RL8"/>
          <cell r="RM8"/>
          <cell r="RP8"/>
          <cell r="RQ8"/>
          <cell r="RT8"/>
          <cell r="RU8"/>
          <cell r="RX8"/>
          <cell r="RY8"/>
          <cell r="SB8"/>
          <cell r="SC8"/>
          <cell r="SF8"/>
          <cell r="SG8"/>
          <cell r="SJ8"/>
          <cell r="SK8"/>
          <cell r="SN8"/>
          <cell r="SO8"/>
          <cell r="SR8"/>
          <cell r="SS8"/>
          <cell r="SV8"/>
          <cell r="SW8"/>
          <cell r="SZ8"/>
          <cell r="TA8"/>
          <cell r="TD8"/>
          <cell r="TE8"/>
          <cell r="TH8"/>
          <cell r="TI8"/>
          <cell r="TL8"/>
          <cell r="TM8"/>
          <cell r="TP8"/>
          <cell r="TQ8"/>
          <cell r="TT8"/>
          <cell r="TU8"/>
          <cell r="TX8"/>
          <cell r="TY8"/>
          <cell r="UB8"/>
          <cell r="UC8"/>
          <cell r="UF8"/>
          <cell r="UG8"/>
          <cell r="UJ8"/>
          <cell r="UK8"/>
          <cell r="UN8"/>
          <cell r="UO8"/>
          <cell r="UR8"/>
          <cell r="US8"/>
          <cell r="UV8"/>
          <cell r="UW8"/>
          <cell r="UZ8"/>
          <cell r="VA8"/>
          <cell r="VD8"/>
          <cell r="VE8"/>
          <cell r="VH8"/>
          <cell r="VI8"/>
          <cell r="VL8"/>
          <cell r="VM8"/>
          <cell r="VP8"/>
          <cell r="VQ8"/>
          <cell r="VT8"/>
          <cell r="VU8"/>
        </row>
        <row r="9">
          <cell r="A9"/>
          <cell r="I9"/>
          <cell r="J9"/>
          <cell r="GA9"/>
          <cell r="GB9"/>
          <cell r="GE9"/>
          <cell r="GF9"/>
          <cell r="GI9"/>
          <cell r="GJ9"/>
          <cell r="GM9"/>
          <cell r="GN9"/>
          <cell r="GQ9"/>
          <cell r="GR9"/>
          <cell r="GU9"/>
          <cell r="GV9"/>
          <cell r="GY9"/>
          <cell r="GZ9"/>
          <cell r="HC9"/>
          <cell r="HD9"/>
          <cell r="HG9"/>
          <cell r="HH9"/>
          <cell r="HK9"/>
          <cell r="HL9"/>
          <cell r="HO9"/>
          <cell r="HP9"/>
          <cell r="HS9"/>
          <cell r="HT9"/>
          <cell r="HW9"/>
          <cell r="HX9"/>
          <cell r="IA9"/>
          <cell r="IB9"/>
          <cell r="IE9"/>
          <cell r="IF9"/>
          <cell r="II9"/>
          <cell r="IJ9"/>
          <cell r="IM9"/>
          <cell r="IN9"/>
          <cell r="IQ9"/>
          <cell r="IR9"/>
          <cell r="IU9"/>
          <cell r="IV9"/>
          <cell r="IY9"/>
          <cell r="IZ9"/>
          <cell r="JC9"/>
          <cell r="JD9"/>
          <cell r="JG9"/>
          <cell r="JH9"/>
          <cell r="JK9"/>
          <cell r="JL9"/>
          <cell r="JO9"/>
          <cell r="JP9"/>
          <cell r="JS9"/>
          <cell r="JT9"/>
          <cell r="JW9"/>
          <cell r="JX9"/>
          <cell r="KA9"/>
          <cell r="KB9"/>
          <cell r="KE9"/>
          <cell r="KF9"/>
          <cell r="KI9"/>
          <cell r="KJ9"/>
          <cell r="KM9"/>
          <cell r="KN9"/>
          <cell r="KQ9"/>
          <cell r="KR9"/>
          <cell r="KU9"/>
          <cell r="KV9"/>
          <cell r="KY9"/>
          <cell r="KZ9"/>
          <cell r="LC9"/>
          <cell r="LD9"/>
          <cell r="LG9"/>
          <cell r="LH9"/>
          <cell r="LK9"/>
          <cell r="LL9"/>
          <cell r="LO9"/>
          <cell r="LP9"/>
          <cell r="LS9"/>
          <cell r="LT9"/>
          <cell r="LW9"/>
          <cell r="LX9"/>
          <cell r="MA9"/>
          <cell r="MB9"/>
          <cell r="ME9"/>
          <cell r="MF9"/>
          <cell r="MI9"/>
          <cell r="MJ9"/>
          <cell r="MM9"/>
          <cell r="MN9"/>
          <cell r="MQ9"/>
          <cell r="MR9"/>
          <cell r="MU9"/>
          <cell r="MV9"/>
          <cell r="MY9"/>
          <cell r="MZ9"/>
          <cell r="NC9"/>
          <cell r="ND9"/>
          <cell r="NG9"/>
          <cell r="NH9"/>
          <cell r="NK9"/>
          <cell r="NL9"/>
          <cell r="NO9"/>
          <cell r="NP9"/>
          <cell r="NS9"/>
          <cell r="NT9"/>
          <cell r="NW9"/>
          <cell r="NX9"/>
          <cell r="OA9"/>
          <cell r="OB9"/>
          <cell r="OE9"/>
          <cell r="OF9"/>
          <cell r="OI9"/>
          <cell r="OJ9"/>
          <cell r="OM9"/>
          <cell r="ON9"/>
          <cell r="OQ9"/>
          <cell r="OR9"/>
          <cell r="OU9"/>
          <cell r="OV9"/>
          <cell r="OY9"/>
          <cell r="OZ9"/>
          <cell r="PC9"/>
          <cell r="PD9"/>
          <cell r="PG9"/>
          <cell r="PH9"/>
          <cell r="PK9"/>
          <cell r="PL9"/>
          <cell r="PO9"/>
          <cell r="PP9"/>
          <cell r="PS9"/>
          <cell r="PT9"/>
          <cell r="PW9"/>
          <cell r="PX9"/>
          <cell r="QA9"/>
          <cell r="QB9"/>
          <cell r="QE9"/>
          <cell r="QF9"/>
          <cell r="QI9"/>
          <cell r="QJ9"/>
          <cell r="QR9"/>
          <cell r="QS9"/>
          <cell r="QV9"/>
          <cell r="QW9"/>
          <cell r="QZ9"/>
          <cell r="RA9"/>
          <cell r="RD9"/>
          <cell r="RE9"/>
          <cell r="RH9"/>
          <cell r="RI9"/>
          <cell r="RL9"/>
          <cell r="RM9"/>
          <cell r="RP9"/>
          <cell r="RQ9"/>
          <cell r="RT9"/>
          <cell r="RU9"/>
          <cell r="RX9"/>
          <cell r="RY9"/>
          <cell r="SB9"/>
          <cell r="SC9"/>
          <cell r="SF9"/>
          <cell r="SG9"/>
          <cell r="SJ9"/>
          <cell r="SK9"/>
          <cell r="SN9"/>
          <cell r="SO9"/>
          <cell r="SR9"/>
          <cell r="SS9"/>
          <cell r="SV9"/>
          <cell r="SW9"/>
          <cell r="SZ9"/>
          <cell r="TA9"/>
          <cell r="TD9"/>
          <cell r="TE9"/>
          <cell r="TH9"/>
          <cell r="TI9"/>
          <cell r="TL9"/>
          <cell r="TM9"/>
          <cell r="TP9"/>
          <cell r="TQ9"/>
          <cell r="TT9"/>
          <cell r="TU9"/>
          <cell r="TX9"/>
          <cell r="TY9"/>
          <cell r="UB9"/>
          <cell r="UC9"/>
          <cell r="UF9"/>
          <cell r="UG9"/>
          <cell r="UJ9"/>
          <cell r="UK9"/>
          <cell r="UN9"/>
          <cell r="UO9"/>
          <cell r="UR9"/>
          <cell r="US9"/>
          <cell r="UV9"/>
          <cell r="UW9"/>
          <cell r="UZ9"/>
          <cell r="VA9"/>
          <cell r="VD9"/>
          <cell r="VE9"/>
          <cell r="VH9"/>
          <cell r="VI9"/>
          <cell r="VL9"/>
          <cell r="VM9"/>
          <cell r="VP9"/>
          <cell r="VQ9"/>
          <cell r="VT9"/>
          <cell r="VU9"/>
        </row>
        <row r="10">
          <cell r="A10"/>
          <cell r="I10"/>
          <cell r="J10"/>
          <cell r="GA10"/>
          <cell r="GB10"/>
          <cell r="GE10"/>
          <cell r="GF10"/>
          <cell r="GI10"/>
          <cell r="GJ10"/>
          <cell r="GM10"/>
          <cell r="GN10"/>
          <cell r="GQ10"/>
          <cell r="GR10"/>
          <cell r="GU10"/>
          <cell r="GV10"/>
          <cell r="GY10"/>
          <cell r="GZ10"/>
          <cell r="HC10"/>
          <cell r="HD10"/>
          <cell r="HG10"/>
          <cell r="HH10"/>
          <cell r="HK10"/>
          <cell r="HL10"/>
          <cell r="HO10"/>
          <cell r="HP10"/>
          <cell r="HS10"/>
          <cell r="HT10"/>
          <cell r="HW10"/>
          <cell r="HX10"/>
          <cell r="IA10"/>
          <cell r="IB10"/>
          <cell r="IE10"/>
          <cell r="IF10"/>
          <cell r="II10"/>
          <cell r="IJ10"/>
          <cell r="IM10"/>
          <cell r="IN10"/>
          <cell r="IQ10"/>
          <cell r="IR10"/>
          <cell r="IU10"/>
          <cell r="IV10"/>
          <cell r="IY10"/>
          <cell r="IZ10"/>
          <cell r="JC10"/>
          <cell r="JD10"/>
          <cell r="JG10"/>
          <cell r="JH10"/>
          <cell r="JK10"/>
          <cell r="JL10"/>
          <cell r="JO10"/>
          <cell r="JP10"/>
          <cell r="JS10"/>
          <cell r="JT10"/>
          <cell r="JW10"/>
          <cell r="JX10"/>
          <cell r="KA10"/>
          <cell r="KB10"/>
          <cell r="KE10"/>
          <cell r="KF10"/>
          <cell r="KI10"/>
          <cell r="KJ10"/>
          <cell r="KM10"/>
          <cell r="KN10"/>
          <cell r="KQ10"/>
          <cell r="KR10"/>
          <cell r="KU10"/>
          <cell r="KV10"/>
          <cell r="KY10"/>
          <cell r="KZ10"/>
          <cell r="LC10"/>
          <cell r="LD10"/>
          <cell r="LG10"/>
          <cell r="LH10"/>
          <cell r="LK10"/>
          <cell r="LL10"/>
          <cell r="LO10"/>
          <cell r="LP10"/>
          <cell r="LS10"/>
          <cell r="LT10"/>
          <cell r="LW10"/>
          <cell r="LX10"/>
          <cell r="MA10"/>
          <cell r="MB10"/>
          <cell r="ME10"/>
          <cell r="MF10"/>
          <cell r="MI10"/>
          <cell r="MJ10"/>
          <cell r="MM10"/>
          <cell r="MN10"/>
          <cell r="MQ10"/>
          <cell r="MR10"/>
          <cell r="MU10"/>
          <cell r="MV10"/>
          <cell r="MY10"/>
          <cell r="MZ10"/>
          <cell r="NC10"/>
          <cell r="ND10"/>
          <cell r="NG10"/>
          <cell r="NH10"/>
          <cell r="NK10"/>
          <cell r="NL10"/>
          <cell r="NO10"/>
          <cell r="NP10"/>
          <cell r="NS10"/>
          <cell r="NT10"/>
          <cell r="NW10"/>
          <cell r="NX10"/>
          <cell r="OA10"/>
          <cell r="OB10"/>
          <cell r="OE10"/>
          <cell r="OF10"/>
          <cell r="OI10"/>
          <cell r="OJ10"/>
          <cell r="OM10"/>
          <cell r="ON10"/>
          <cell r="OQ10"/>
          <cell r="OR10"/>
          <cell r="OU10"/>
          <cell r="OV10"/>
          <cell r="OY10"/>
          <cell r="OZ10"/>
          <cell r="PC10"/>
          <cell r="PD10"/>
          <cell r="PG10"/>
          <cell r="PH10"/>
          <cell r="PK10"/>
          <cell r="PL10"/>
          <cell r="PO10"/>
          <cell r="PP10"/>
          <cell r="PS10"/>
          <cell r="PT10"/>
          <cell r="PW10"/>
          <cell r="PX10"/>
          <cell r="QA10"/>
          <cell r="QB10"/>
          <cell r="QE10"/>
          <cell r="QF10"/>
          <cell r="QI10"/>
          <cell r="QJ10"/>
          <cell r="QR10"/>
          <cell r="QS10"/>
          <cell r="QV10"/>
          <cell r="QW10"/>
          <cell r="QZ10"/>
          <cell r="RA10"/>
          <cell r="RD10"/>
          <cell r="RE10"/>
          <cell r="RH10"/>
          <cell r="RI10"/>
          <cell r="RL10"/>
          <cell r="RM10"/>
          <cell r="RP10"/>
          <cell r="RQ10"/>
          <cell r="RT10"/>
          <cell r="RU10"/>
          <cell r="RX10"/>
          <cell r="RY10"/>
          <cell r="SB10"/>
          <cell r="SC10"/>
          <cell r="SF10"/>
          <cell r="SG10"/>
          <cell r="SJ10"/>
          <cell r="SK10"/>
          <cell r="SN10"/>
          <cell r="SO10"/>
          <cell r="SR10"/>
          <cell r="SS10"/>
          <cell r="SV10"/>
          <cell r="SW10"/>
          <cell r="SZ10"/>
          <cell r="TA10"/>
          <cell r="TD10"/>
          <cell r="TE10"/>
          <cell r="TH10"/>
          <cell r="TI10"/>
          <cell r="TL10"/>
          <cell r="TM10"/>
          <cell r="TP10"/>
          <cell r="TQ10"/>
          <cell r="TT10"/>
          <cell r="TU10"/>
          <cell r="TX10"/>
          <cell r="TY10"/>
          <cell r="UB10"/>
          <cell r="UC10"/>
          <cell r="UF10"/>
          <cell r="UG10"/>
          <cell r="UJ10"/>
          <cell r="UK10"/>
          <cell r="UN10"/>
          <cell r="UO10"/>
          <cell r="UR10"/>
          <cell r="US10"/>
          <cell r="UV10"/>
          <cell r="UW10"/>
          <cell r="UZ10"/>
          <cell r="VA10"/>
          <cell r="VD10"/>
          <cell r="VE10"/>
          <cell r="VH10"/>
          <cell r="VI10"/>
          <cell r="VL10"/>
          <cell r="VM10"/>
          <cell r="VP10"/>
          <cell r="VQ10"/>
          <cell r="VT10"/>
          <cell r="VU10"/>
        </row>
        <row r="11">
          <cell r="A11"/>
          <cell r="I11"/>
          <cell r="J11"/>
          <cell r="GA11"/>
          <cell r="GB11"/>
          <cell r="GE11"/>
          <cell r="GF11"/>
          <cell r="GI11"/>
          <cell r="GJ11"/>
          <cell r="GM11"/>
          <cell r="GN11"/>
          <cell r="GQ11"/>
          <cell r="GR11"/>
          <cell r="GU11"/>
          <cell r="GV11"/>
          <cell r="GY11"/>
          <cell r="GZ11"/>
          <cell r="HC11"/>
          <cell r="HD11"/>
          <cell r="HG11"/>
          <cell r="HH11"/>
          <cell r="HK11"/>
          <cell r="HL11"/>
          <cell r="HO11"/>
          <cell r="HP11"/>
          <cell r="HS11"/>
          <cell r="HT11"/>
          <cell r="HW11"/>
          <cell r="HX11"/>
          <cell r="IA11"/>
          <cell r="IB11"/>
          <cell r="IE11"/>
          <cell r="IF11"/>
          <cell r="II11"/>
          <cell r="IJ11"/>
          <cell r="IM11"/>
          <cell r="IN11"/>
          <cell r="IQ11"/>
          <cell r="IR11"/>
          <cell r="IU11"/>
          <cell r="IV11"/>
          <cell r="IY11"/>
          <cell r="IZ11"/>
          <cell r="JC11"/>
          <cell r="JD11"/>
          <cell r="JG11"/>
          <cell r="JH11"/>
          <cell r="JK11"/>
          <cell r="JL11"/>
          <cell r="JO11"/>
          <cell r="JP11"/>
          <cell r="JS11"/>
          <cell r="JT11"/>
          <cell r="JW11"/>
          <cell r="JX11"/>
          <cell r="KA11"/>
          <cell r="KB11"/>
          <cell r="KE11"/>
          <cell r="KF11"/>
          <cell r="KI11"/>
          <cell r="KJ11"/>
          <cell r="KM11"/>
          <cell r="KN11"/>
          <cell r="KQ11"/>
          <cell r="KR11"/>
          <cell r="KU11"/>
          <cell r="KV11"/>
          <cell r="KY11"/>
          <cell r="KZ11"/>
          <cell r="LC11"/>
          <cell r="LD11"/>
          <cell r="LG11"/>
          <cell r="LH11"/>
          <cell r="LK11"/>
          <cell r="LL11"/>
          <cell r="LO11"/>
          <cell r="LP11"/>
          <cell r="LS11"/>
          <cell r="LT11"/>
          <cell r="LW11"/>
          <cell r="LX11"/>
          <cell r="MA11"/>
          <cell r="MB11"/>
          <cell r="ME11"/>
          <cell r="MF11"/>
          <cell r="MI11"/>
          <cell r="MJ11"/>
          <cell r="MM11"/>
          <cell r="MN11"/>
          <cell r="MQ11"/>
          <cell r="MR11"/>
          <cell r="MU11"/>
          <cell r="MV11"/>
          <cell r="MY11"/>
          <cell r="MZ11"/>
          <cell r="NC11"/>
          <cell r="ND11"/>
          <cell r="NG11"/>
          <cell r="NH11"/>
          <cell r="NK11"/>
          <cell r="NL11"/>
          <cell r="NO11"/>
          <cell r="NP11"/>
          <cell r="NS11"/>
          <cell r="NT11"/>
          <cell r="NW11"/>
          <cell r="NX11"/>
          <cell r="OA11"/>
          <cell r="OB11"/>
          <cell r="OE11"/>
          <cell r="OF11"/>
          <cell r="OI11"/>
          <cell r="OJ11"/>
          <cell r="OM11"/>
          <cell r="ON11"/>
          <cell r="OQ11"/>
          <cell r="OR11"/>
          <cell r="OU11"/>
          <cell r="OV11"/>
          <cell r="OY11"/>
          <cell r="OZ11"/>
          <cell r="PC11"/>
          <cell r="PD11"/>
          <cell r="PG11"/>
          <cell r="PH11"/>
          <cell r="PK11"/>
          <cell r="PL11"/>
          <cell r="PO11"/>
          <cell r="PP11"/>
          <cell r="PS11"/>
          <cell r="PT11"/>
          <cell r="PW11"/>
          <cell r="PX11"/>
          <cell r="QA11"/>
          <cell r="QB11"/>
          <cell r="QE11"/>
          <cell r="QF11"/>
          <cell r="QI11"/>
          <cell r="QJ11"/>
          <cell r="QR11"/>
          <cell r="QS11"/>
          <cell r="QV11"/>
          <cell r="QW11"/>
          <cell r="QZ11"/>
          <cell r="RA11"/>
          <cell r="RD11"/>
          <cell r="RE11"/>
          <cell r="RH11"/>
          <cell r="RI11"/>
          <cell r="RL11"/>
          <cell r="RM11"/>
          <cell r="RP11"/>
          <cell r="RQ11"/>
          <cell r="RT11"/>
          <cell r="RU11"/>
          <cell r="RX11"/>
          <cell r="RY11"/>
          <cell r="SB11"/>
          <cell r="SC11"/>
          <cell r="SF11"/>
          <cell r="SG11"/>
          <cell r="SJ11"/>
          <cell r="SK11"/>
          <cell r="SN11"/>
          <cell r="SO11"/>
          <cell r="SR11"/>
          <cell r="SS11"/>
          <cell r="SV11"/>
          <cell r="SW11"/>
          <cell r="SZ11"/>
          <cell r="TA11"/>
          <cell r="TD11"/>
          <cell r="TE11"/>
          <cell r="TH11"/>
          <cell r="TI11"/>
          <cell r="TL11"/>
          <cell r="TM11"/>
          <cell r="TP11"/>
          <cell r="TQ11"/>
          <cell r="TT11"/>
          <cell r="TU11"/>
          <cell r="TX11"/>
          <cell r="TY11"/>
          <cell r="UB11"/>
          <cell r="UC11"/>
          <cell r="UF11"/>
          <cell r="UG11"/>
          <cell r="UJ11"/>
          <cell r="UK11"/>
          <cell r="UN11"/>
          <cell r="UO11"/>
          <cell r="UR11"/>
          <cell r="US11"/>
          <cell r="UV11"/>
          <cell r="UW11"/>
          <cell r="UZ11"/>
          <cell r="VA11"/>
          <cell r="VD11"/>
          <cell r="VE11"/>
          <cell r="VH11"/>
          <cell r="VI11"/>
          <cell r="VL11"/>
          <cell r="VM11"/>
          <cell r="VP11"/>
          <cell r="VQ11"/>
          <cell r="VT11"/>
          <cell r="VU11"/>
        </row>
        <row r="12">
          <cell r="A12"/>
          <cell r="I12"/>
          <cell r="J12"/>
          <cell r="GA12"/>
          <cell r="GB12"/>
          <cell r="GE12"/>
          <cell r="GF12"/>
          <cell r="GI12"/>
          <cell r="GJ12"/>
          <cell r="GM12"/>
          <cell r="GN12"/>
          <cell r="GQ12"/>
          <cell r="GR12"/>
          <cell r="GU12"/>
          <cell r="GV12"/>
          <cell r="GY12"/>
          <cell r="GZ12"/>
          <cell r="HC12"/>
          <cell r="HD12"/>
          <cell r="HG12"/>
          <cell r="HH12"/>
          <cell r="HK12"/>
          <cell r="HL12"/>
          <cell r="HO12"/>
          <cell r="HP12"/>
          <cell r="HS12"/>
          <cell r="HT12"/>
          <cell r="HW12"/>
          <cell r="HX12"/>
          <cell r="IA12"/>
          <cell r="IB12"/>
          <cell r="IE12"/>
          <cell r="IF12"/>
          <cell r="II12"/>
          <cell r="IJ12"/>
          <cell r="IM12"/>
          <cell r="IN12"/>
          <cell r="IQ12"/>
          <cell r="IR12"/>
          <cell r="IU12"/>
          <cell r="IV12"/>
          <cell r="IY12"/>
          <cell r="IZ12"/>
          <cell r="JC12"/>
          <cell r="JD12"/>
          <cell r="JG12"/>
          <cell r="JH12"/>
          <cell r="JK12"/>
          <cell r="JL12"/>
          <cell r="JO12"/>
          <cell r="JP12"/>
          <cell r="JS12"/>
          <cell r="JT12"/>
          <cell r="JW12"/>
          <cell r="JX12"/>
          <cell r="KA12"/>
          <cell r="KB12"/>
          <cell r="KE12"/>
          <cell r="KF12"/>
          <cell r="KI12"/>
          <cell r="KJ12"/>
          <cell r="KM12"/>
          <cell r="KN12"/>
          <cell r="KQ12"/>
          <cell r="KR12"/>
          <cell r="KU12"/>
          <cell r="KV12"/>
          <cell r="KY12"/>
          <cell r="KZ12"/>
          <cell r="LC12"/>
          <cell r="LD12"/>
          <cell r="LG12"/>
          <cell r="LH12"/>
          <cell r="LK12"/>
          <cell r="LL12"/>
          <cell r="LO12"/>
          <cell r="LP12"/>
          <cell r="LS12"/>
          <cell r="LT12"/>
          <cell r="LW12"/>
          <cell r="LX12"/>
          <cell r="MA12"/>
          <cell r="MB12"/>
          <cell r="ME12"/>
          <cell r="MF12"/>
          <cell r="MI12"/>
          <cell r="MJ12"/>
          <cell r="MM12"/>
          <cell r="MN12"/>
          <cell r="MQ12"/>
          <cell r="MR12"/>
          <cell r="MU12"/>
          <cell r="MV12"/>
          <cell r="MY12"/>
          <cell r="MZ12"/>
          <cell r="NC12"/>
          <cell r="ND12"/>
          <cell r="NG12"/>
          <cell r="NH12"/>
          <cell r="NK12"/>
          <cell r="NL12"/>
          <cell r="NO12"/>
          <cell r="NP12"/>
          <cell r="NS12"/>
          <cell r="NT12"/>
          <cell r="NW12"/>
          <cell r="NX12"/>
          <cell r="OA12"/>
          <cell r="OB12"/>
          <cell r="OE12"/>
          <cell r="OF12"/>
          <cell r="OI12"/>
          <cell r="OJ12"/>
          <cell r="OM12"/>
          <cell r="ON12"/>
          <cell r="OQ12"/>
          <cell r="OR12"/>
          <cell r="OU12"/>
          <cell r="OV12"/>
          <cell r="OY12"/>
          <cell r="OZ12"/>
          <cell r="PC12"/>
          <cell r="PD12"/>
          <cell r="PG12"/>
          <cell r="PH12"/>
          <cell r="PK12"/>
          <cell r="PL12"/>
          <cell r="PO12"/>
          <cell r="PP12"/>
          <cell r="PS12"/>
          <cell r="PT12"/>
          <cell r="PW12"/>
          <cell r="PX12"/>
          <cell r="QA12"/>
          <cell r="QB12"/>
          <cell r="QE12"/>
          <cell r="QF12"/>
          <cell r="QI12"/>
          <cell r="QJ12"/>
          <cell r="QR12"/>
          <cell r="QS12"/>
          <cell r="QV12"/>
          <cell r="QW12"/>
          <cell r="QZ12"/>
          <cell r="RA12"/>
          <cell r="RD12"/>
          <cell r="RE12"/>
          <cell r="RH12"/>
          <cell r="RI12"/>
          <cell r="RL12"/>
          <cell r="RM12"/>
          <cell r="RP12"/>
          <cell r="RQ12"/>
          <cell r="RT12"/>
          <cell r="RU12"/>
          <cell r="RX12"/>
          <cell r="RY12"/>
          <cell r="SB12"/>
          <cell r="SC12"/>
          <cell r="SF12"/>
          <cell r="SG12"/>
          <cell r="SJ12"/>
          <cell r="SK12"/>
          <cell r="SN12"/>
          <cell r="SO12"/>
          <cell r="SR12"/>
          <cell r="SS12"/>
          <cell r="SV12"/>
          <cell r="SW12"/>
          <cell r="SZ12"/>
          <cell r="TA12"/>
          <cell r="TD12"/>
          <cell r="TE12"/>
          <cell r="TH12"/>
          <cell r="TI12"/>
          <cell r="TL12"/>
          <cell r="TM12"/>
          <cell r="TP12"/>
          <cell r="TQ12"/>
          <cell r="TT12"/>
          <cell r="TU12"/>
          <cell r="TX12"/>
          <cell r="TY12"/>
          <cell r="UB12"/>
          <cell r="UC12"/>
          <cell r="UF12"/>
          <cell r="UG12"/>
          <cell r="UJ12"/>
          <cell r="UK12"/>
          <cell r="UN12"/>
          <cell r="UO12"/>
          <cell r="UR12"/>
          <cell r="US12"/>
          <cell r="UV12"/>
          <cell r="UW12"/>
          <cell r="UZ12"/>
          <cell r="VA12"/>
          <cell r="VD12"/>
          <cell r="VE12"/>
          <cell r="VH12"/>
          <cell r="VI12"/>
          <cell r="VL12"/>
          <cell r="VM12"/>
          <cell r="VP12"/>
          <cell r="VQ12"/>
          <cell r="VT12"/>
          <cell r="VU12"/>
        </row>
        <row r="13">
          <cell r="A13"/>
          <cell r="I13"/>
          <cell r="J13"/>
          <cell r="GA13"/>
          <cell r="GB13"/>
          <cell r="GE13"/>
          <cell r="GF13"/>
          <cell r="GI13"/>
          <cell r="GJ13"/>
          <cell r="GM13"/>
          <cell r="GN13"/>
          <cell r="GQ13"/>
          <cell r="GR13"/>
          <cell r="GU13"/>
          <cell r="GV13"/>
          <cell r="GY13"/>
          <cell r="GZ13"/>
          <cell r="HC13"/>
          <cell r="HD13"/>
          <cell r="HG13"/>
          <cell r="HH13"/>
          <cell r="HK13"/>
          <cell r="HL13"/>
          <cell r="HO13"/>
          <cell r="HP13"/>
          <cell r="HS13"/>
          <cell r="HT13"/>
          <cell r="HW13"/>
          <cell r="HX13"/>
          <cell r="IA13"/>
          <cell r="IB13"/>
          <cell r="IE13"/>
          <cell r="IF13"/>
          <cell r="II13"/>
          <cell r="IJ13"/>
          <cell r="IM13"/>
          <cell r="IN13"/>
          <cell r="IQ13"/>
          <cell r="IR13"/>
          <cell r="IU13"/>
          <cell r="IV13"/>
          <cell r="IY13"/>
          <cell r="IZ13"/>
          <cell r="JC13"/>
          <cell r="JD13"/>
          <cell r="JG13"/>
          <cell r="JH13"/>
          <cell r="JK13"/>
          <cell r="JL13"/>
          <cell r="JO13"/>
          <cell r="JP13"/>
          <cell r="JS13"/>
          <cell r="JT13"/>
          <cell r="JW13"/>
          <cell r="JX13"/>
          <cell r="KA13"/>
          <cell r="KB13"/>
          <cell r="KE13"/>
          <cell r="KF13"/>
          <cell r="KI13"/>
          <cell r="KJ13"/>
          <cell r="KM13"/>
          <cell r="KN13"/>
          <cell r="KQ13"/>
          <cell r="KR13"/>
          <cell r="KU13"/>
          <cell r="KV13"/>
          <cell r="KY13"/>
          <cell r="KZ13"/>
          <cell r="LC13"/>
          <cell r="LD13"/>
          <cell r="LG13"/>
          <cell r="LH13"/>
          <cell r="LK13"/>
          <cell r="LL13"/>
          <cell r="LO13"/>
          <cell r="LP13"/>
          <cell r="LS13"/>
          <cell r="LT13"/>
          <cell r="LW13"/>
          <cell r="LX13"/>
          <cell r="MA13"/>
          <cell r="MB13"/>
          <cell r="ME13"/>
          <cell r="MF13"/>
          <cell r="MI13"/>
          <cell r="MJ13"/>
          <cell r="MM13"/>
          <cell r="MN13"/>
          <cell r="MQ13"/>
          <cell r="MR13"/>
          <cell r="MU13"/>
          <cell r="MV13"/>
          <cell r="MY13"/>
          <cell r="MZ13"/>
          <cell r="NC13"/>
          <cell r="ND13"/>
          <cell r="NG13"/>
          <cell r="NH13"/>
          <cell r="NK13"/>
          <cell r="NL13"/>
          <cell r="NO13"/>
          <cell r="NP13"/>
          <cell r="NS13"/>
          <cell r="NT13"/>
          <cell r="NW13"/>
          <cell r="NX13"/>
          <cell r="OA13"/>
          <cell r="OB13"/>
          <cell r="OE13"/>
          <cell r="OF13"/>
          <cell r="OI13"/>
          <cell r="OJ13"/>
          <cell r="OM13"/>
          <cell r="ON13"/>
          <cell r="OQ13"/>
          <cell r="OR13"/>
          <cell r="OU13"/>
          <cell r="OV13"/>
          <cell r="OY13"/>
          <cell r="OZ13"/>
          <cell r="PC13"/>
          <cell r="PD13"/>
          <cell r="PG13"/>
          <cell r="PH13"/>
          <cell r="PK13"/>
          <cell r="PL13"/>
          <cell r="PO13"/>
          <cell r="PP13"/>
          <cell r="PS13"/>
          <cell r="PT13"/>
          <cell r="PW13"/>
          <cell r="PX13"/>
          <cell r="QA13"/>
          <cell r="QB13"/>
          <cell r="QE13"/>
          <cell r="QF13"/>
          <cell r="QI13"/>
          <cell r="QJ13"/>
          <cell r="QR13"/>
          <cell r="QS13"/>
          <cell r="QV13"/>
          <cell r="QW13"/>
          <cell r="QZ13"/>
          <cell r="RA13"/>
          <cell r="RD13"/>
          <cell r="RE13"/>
          <cell r="RH13"/>
          <cell r="RI13"/>
          <cell r="RL13"/>
          <cell r="RM13"/>
          <cell r="RP13"/>
          <cell r="RQ13"/>
          <cell r="RT13"/>
          <cell r="RU13"/>
          <cell r="RX13"/>
          <cell r="RY13"/>
          <cell r="SB13"/>
          <cell r="SC13"/>
          <cell r="SF13"/>
          <cell r="SG13"/>
          <cell r="SJ13"/>
          <cell r="SK13"/>
          <cell r="SN13"/>
          <cell r="SO13"/>
          <cell r="SR13"/>
          <cell r="SS13"/>
          <cell r="SV13"/>
          <cell r="SW13"/>
          <cell r="SZ13"/>
          <cell r="TA13"/>
          <cell r="TD13"/>
          <cell r="TE13"/>
          <cell r="TH13"/>
          <cell r="TI13"/>
          <cell r="TL13"/>
          <cell r="TM13"/>
          <cell r="TP13"/>
          <cell r="TQ13"/>
          <cell r="TT13"/>
          <cell r="TU13"/>
          <cell r="TX13"/>
          <cell r="TY13"/>
          <cell r="UB13"/>
          <cell r="UC13"/>
          <cell r="UF13"/>
          <cell r="UG13"/>
          <cell r="UJ13"/>
          <cell r="UK13"/>
          <cell r="UN13"/>
          <cell r="UO13"/>
          <cell r="UR13"/>
          <cell r="US13"/>
          <cell r="UV13"/>
          <cell r="UW13"/>
          <cell r="UZ13"/>
          <cell r="VA13"/>
          <cell r="VD13"/>
          <cell r="VE13"/>
          <cell r="VH13"/>
          <cell r="VI13"/>
          <cell r="VL13"/>
          <cell r="VM13"/>
          <cell r="VP13"/>
          <cell r="VQ13"/>
          <cell r="VT13"/>
          <cell r="VU13"/>
        </row>
        <row r="14">
          <cell r="A14"/>
          <cell r="I14"/>
          <cell r="J14"/>
          <cell r="GA14"/>
          <cell r="GB14"/>
          <cell r="GE14"/>
          <cell r="GF14"/>
          <cell r="GI14"/>
          <cell r="GJ14"/>
          <cell r="GM14"/>
          <cell r="GN14"/>
          <cell r="GQ14"/>
          <cell r="GR14"/>
          <cell r="GU14"/>
          <cell r="GV14"/>
          <cell r="GY14"/>
          <cell r="GZ14"/>
          <cell r="HC14"/>
          <cell r="HD14"/>
          <cell r="HG14"/>
          <cell r="HH14"/>
          <cell r="HK14"/>
          <cell r="HL14"/>
          <cell r="HO14"/>
          <cell r="HP14"/>
          <cell r="HS14"/>
          <cell r="HT14"/>
          <cell r="HW14"/>
          <cell r="HX14"/>
          <cell r="IA14"/>
          <cell r="IB14"/>
          <cell r="IE14"/>
          <cell r="IF14"/>
          <cell r="II14"/>
          <cell r="IJ14"/>
          <cell r="IM14"/>
          <cell r="IN14"/>
          <cell r="IQ14"/>
          <cell r="IR14"/>
          <cell r="IU14"/>
          <cell r="IV14"/>
          <cell r="IY14"/>
          <cell r="IZ14"/>
          <cell r="JC14"/>
          <cell r="JD14"/>
          <cell r="JG14"/>
          <cell r="JH14"/>
          <cell r="JK14"/>
          <cell r="JL14"/>
          <cell r="JO14"/>
          <cell r="JP14"/>
          <cell r="JS14"/>
          <cell r="JT14"/>
          <cell r="JW14"/>
          <cell r="JX14"/>
          <cell r="KA14"/>
          <cell r="KB14"/>
          <cell r="KE14"/>
          <cell r="KF14"/>
          <cell r="KI14"/>
          <cell r="KJ14"/>
          <cell r="KM14"/>
          <cell r="KN14"/>
          <cell r="KQ14"/>
          <cell r="KR14"/>
          <cell r="KU14"/>
          <cell r="KV14"/>
          <cell r="KY14"/>
          <cell r="KZ14"/>
          <cell r="LC14"/>
          <cell r="LD14"/>
          <cell r="LG14"/>
          <cell r="LH14"/>
          <cell r="LK14"/>
          <cell r="LL14"/>
          <cell r="LO14"/>
          <cell r="LP14"/>
          <cell r="LS14"/>
          <cell r="LT14"/>
          <cell r="LW14"/>
          <cell r="LX14"/>
          <cell r="MA14"/>
          <cell r="MB14"/>
          <cell r="ME14"/>
          <cell r="MF14"/>
          <cell r="MI14"/>
          <cell r="MJ14"/>
          <cell r="MM14"/>
          <cell r="MN14"/>
          <cell r="MQ14"/>
          <cell r="MR14"/>
          <cell r="MU14"/>
          <cell r="MV14"/>
          <cell r="MY14"/>
          <cell r="MZ14"/>
          <cell r="NC14"/>
          <cell r="ND14"/>
          <cell r="NG14"/>
          <cell r="NH14"/>
          <cell r="NK14"/>
          <cell r="NL14"/>
          <cell r="NO14"/>
          <cell r="NP14"/>
          <cell r="NS14"/>
          <cell r="NT14"/>
          <cell r="NW14"/>
          <cell r="NX14"/>
          <cell r="OA14"/>
          <cell r="OB14"/>
          <cell r="OE14"/>
          <cell r="OF14"/>
          <cell r="OI14"/>
          <cell r="OJ14"/>
          <cell r="OM14"/>
          <cell r="ON14"/>
          <cell r="OQ14"/>
          <cell r="OR14"/>
          <cell r="OU14"/>
          <cell r="OV14"/>
          <cell r="OY14"/>
          <cell r="OZ14"/>
          <cell r="PC14"/>
          <cell r="PD14"/>
          <cell r="PG14"/>
          <cell r="PH14"/>
          <cell r="PK14"/>
          <cell r="PL14"/>
          <cell r="PO14"/>
          <cell r="PP14"/>
          <cell r="PS14"/>
          <cell r="PT14"/>
          <cell r="PW14"/>
          <cell r="PX14"/>
          <cell r="QA14"/>
          <cell r="QB14"/>
          <cell r="QE14"/>
          <cell r="QF14"/>
          <cell r="QI14"/>
          <cell r="QJ14"/>
          <cell r="QR14"/>
          <cell r="QS14"/>
          <cell r="QV14"/>
          <cell r="QW14"/>
          <cell r="QZ14"/>
          <cell r="RA14"/>
          <cell r="RD14"/>
          <cell r="RE14"/>
          <cell r="RH14"/>
          <cell r="RI14"/>
          <cell r="RL14"/>
          <cell r="RM14"/>
          <cell r="RP14"/>
          <cell r="RQ14"/>
          <cell r="RT14"/>
          <cell r="RU14"/>
          <cell r="RX14"/>
          <cell r="RY14"/>
          <cell r="SB14"/>
          <cell r="SC14"/>
          <cell r="SF14"/>
          <cell r="SG14"/>
          <cell r="SJ14"/>
          <cell r="SK14"/>
          <cell r="SN14"/>
          <cell r="SO14"/>
          <cell r="SR14"/>
          <cell r="SS14"/>
          <cell r="SV14"/>
          <cell r="SW14"/>
          <cell r="SZ14"/>
          <cell r="TA14"/>
          <cell r="TD14"/>
          <cell r="TE14"/>
          <cell r="TH14"/>
          <cell r="TI14"/>
          <cell r="TL14"/>
          <cell r="TM14"/>
          <cell r="TP14"/>
          <cell r="TQ14"/>
          <cell r="TT14"/>
          <cell r="TU14"/>
          <cell r="TX14"/>
          <cell r="TY14"/>
          <cell r="UB14"/>
          <cell r="UC14"/>
          <cell r="UF14"/>
          <cell r="UG14"/>
          <cell r="UJ14"/>
          <cell r="UK14"/>
          <cell r="UN14"/>
          <cell r="UO14"/>
          <cell r="UR14"/>
          <cell r="US14"/>
          <cell r="UV14"/>
          <cell r="UW14"/>
          <cell r="UZ14"/>
          <cell r="VA14"/>
          <cell r="VD14"/>
          <cell r="VE14"/>
          <cell r="VH14"/>
          <cell r="VI14"/>
          <cell r="VL14"/>
          <cell r="VM14"/>
          <cell r="VP14"/>
          <cell r="VQ14"/>
          <cell r="VT14"/>
          <cell r="VU14"/>
        </row>
        <row r="15">
          <cell r="A15"/>
          <cell r="I15"/>
          <cell r="J15"/>
          <cell r="GA15"/>
          <cell r="GB15"/>
          <cell r="GE15"/>
          <cell r="GF15"/>
          <cell r="GI15"/>
          <cell r="GJ15"/>
          <cell r="GM15"/>
          <cell r="GN15"/>
          <cell r="GQ15"/>
          <cell r="GR15"/>
          <cell r="GU15"/>
          <cell r="GV15"/>
          <cell r="GY15"/>
          <cell r="GZ15"/>
          <cell r="HC15"/>
          <cell r="HD15"/>
          <cell r="HG15"/>
          <cell r="HH15"/>
          <cell r="HK15"/>
          <cell r="HL15"/>
          <cell r="HO15"/>
          <cell r="HP15"/>
          <cell r="HS15"/>
          <cell r="HT15"/>
          <cell r="HW15"/>
          <cell r="HX15"/>
          <cell r="IA15"/>
          <cell r="IB15"/>
          <cell r="IE15"/>
          <cell r="IF15"/>
          <cell r="II15"/>
          <cell r="IJ15"/>
          <cell r="IM15"/>
          <cell r="IN15"/>
          <cell r="IQ15"/>
          <cell r="IR15"/>
          <cell r="IU15"/>
          <cell r="IV15"/>
          <cell r="IY15"/>
          <cell r="IZ15"/>
          <cell r="JC15"/>
          <cell r="JD15"/>
          <cell r="JG15"/>
          <cell r="JH15"/>
          <cell r="JK15"/>
          <cell r="JL15"/>
          <cell r="JO15"/>
          <cell r="JP15"/>
          <cell r="JS15"/>
          <cell r="JT15"/>
          <cell r="JW15"/>
          <cell r="JX15"/>
          <cell r="KA15"/>
          <cell r="KB15"/>
          <cell r="KE15"/>
          <cell r="KF15"/>
          <cell r="KI15"/>
          <cell r="KJ15"/>
          <cell r="KM15"/>
          <cell r="KN15"/>
          <cell r="KQ15"/>
          <cell r="KR15"/>
          <cell r="KU15"/>
          <cell r="KV15"/>
          <cell r="KY15"/>
          <cell r="KZ15"/>
          <cell r="LC15"/>
          <cell r="LD15"/>
          <cell r="LG15"/>
          <cell r="LH15"/>
          <cell r="LK15"/>
          <cell r="LL15"/>
          <cell r="LO15"/>
          <cell r="LP15"/>
          <cell r="LS15"/>
          <cell r="LT15"/>
          <cell r="LW15"/>
          <cell r="LX15"/>
          <cell r="MA15"/>
          <cell r="MB15"/>
          <cell r="ME15"/>
          <cell r="MF15"/>
          <cell r="MI15"/>
          <cell r="MJ15"/>
          <cell r="MM15"/>
          <cell r="MN15"/>
          <cell r="MQ15"/>
          <cell r="MR15"/>
          <cell r="MU15"/>
          <cell r="MV15"/>
          <cell r="MY15"/>
          <cell r="MZ15"/>
          <cell r="NC15"/>
          <cell r="ND15"/>
          <cell r="NG15"/>
          <cell r="NH15"/>
          <cell r="NK15"/>
          <cell r="NL15"/>
          <cell r="NO15"/>
          <cell r="NP15"/>
          <cell r="NS15"/>
          <cell r="NT15"/>
          <cell r="NW15"/>
          <cell r="NX15"/>
          <cell r="OA15"/>
          <cell r="OB15"/>
          <cell r="OE15"/>
          <cell r="OF15"/>
          <cell r="OI15"/>
          <cell r="OJ15"/>
          <cell r="OM15"/>
          <cell r="ON15"/>
          <cell r="OQ15"/>
          <cell r="OR15"/>
          <cell r="OU15"/>
          <cell r="OV15"/>
          <cell r="OY15"/>
          <cell r="OZ15"/>
          <cell r="PC15"/>
          <cell r="PD15"/>
          <cell r="PG15"/>
          <cell r="PH15"/>
          <cell r="PK15"/>
          <cell r="PL15"/>
          <cell r="PO15"/>
          <cell r="PP15"/>
          <cell r="PS15"/>
          <cell r="PT15"/>
          <cell r="PW15"/>
          <cell r="PX15"/>
          <cell r="QA15"/>
          <cell r="QB15"/>
          <cell r="QE15"/>
          <cell r="QF15"/>
          <cell r="QI15"/>
          <cell r="QJ15"/>
          <cell r="QR15"/>
          <cell r="QS15"/>
          <cell r="QV15"/>
          <cell r="QW15"/>
          <cell r="QZ15"/>
          <cell r="RA15"/>
          <cell r="RD15"/>
          <cell r="RE15"/>
          <cell r="RH15"/>
          <cell r="RI15"/>
          <cell r="RL15"/>
          <cell r="RM15"/>
          <cell r="RP15"/>
          <cell r="RQ15"/>
          <cell r="RT15"/>
          <cell r="RU15"/>
          <cell r="RX15"/>
          <cell r="RY15"/>
          <cell r="SB15"/>
          <cell r="SC15"/>
          <cell r="SF15"/>
          <cell r="SG15"/>
          <cell r="SJ15"/>
          <cell r="SK15"/>
          <cell r="SN15"/>
          <cell r="SO15"/>
          <cell r="SR15"/>
          <cell r="SS15"/>
          <cell r="SV15"/>
          <cell r="SW15"/>
          <cell r="SZ15"/>
          <cell r="TA15"/>
          <cell r="TD15"/>
          <cell r="TE15"/>
          <cell r="TH15"/>
          <cell r="TI15"/>
          <cell r="TL15"/>
          <cell r="TM15"/>
          <cell r="TP15"/>
          <cell r="TQ15"/>
          <cell r="TT15"/>
          <cell r="TU15"/>
          <cell r="TX15"/>
          <cell r="TY15"/>
          <cell r="UB15"/>
          <cell r="UC15"/>
          <cell r="UF15"/>
          <cell r="UG15"/>
          <cell r="UJ15"/>
          <cell r="UK15"/>
          <cell r="UN15"/>
          <cell r="UO15"/>
          <cell r="UR15"/>
          <cell r="US15"/>
          <cell r="UV15"/>
          <cell r="UW15"/>
          <cell r="UZ15"/>
          <cell r="VA15"/>
          <cell r="VD15"/>
          <cell r="VE15"/>
          <cell r="VH15"/>
          <cell r="VI15"/>
          <cell r="VL15"/>
          <cell r="VM15"/>
          <cell r="VP15"/>
          <cell r="VQ15"/>
          <cell r="VT15"/>
          <cell r="VU15"/>
        </row>
        <row r="16">
          <cell r="A16"/>
          <cell r="I16"/>
          <cell r="J16"/>
          <cell r="GA16"/>
          <cell r="GB16"/>
          <cell r="GE16"/>
          <cell r="GF16"/>
          <cell r="GI16"/>
          <cell r="GJ16"/>
          <cell r="GM16"/>
          <cell r="GN16"/>
          <cell r="GQ16"/>
          <cell r="GR16"/>
          <cell r="GU16"/>
          <cell r="GV16"/>
          <cell r="GY16"/>
          <cell r="GZ16"/>
          <cell r="HC16"/>
          <cell r="HD16"/>
          <cell r="HG16"/>
          <cell r="HH16"/>
          <cell r="HK16"/>
          <cell r="HL16"/>
          <cell r="HO16"/>
          <cell r="HP16"/>
          <cell r="HS16"/>
          <cell r="HT16"/>
          <cell r="HW16"/>
          <cell r="HX16"/>
          <cell r="IA16"/>
          <cell r="IB16"/>
          <cell r="IE16"/>
          <cell r="IF16"/>
          <cell r="II16"/>
          <cell r="IJ16"/>
          <cell r="IM16"/>
          <cell r="IN16"/>
          <cell r="IQ16"/>
          <cell r="IR16"/>
          <cell r="IU16"/>
          <cell r="IV16"/>
          <cell r="IY16"/>
          <cell r="IZ16"/>
          <cell r="JC16"/>
          <cell r="JD16"/>
          <cell r="JG16"/>
          <cell r="JH16"/>
          <cell r="JK16"/>
          <cell r="JL16"/>
          <cell r="JO16"/>
          <cell r="JP16"/>
          <cell r="JS16"/>
          <cell r="JT16"/>
          <cell r="JW16"/>
          <cell r="JX16"/>
          <cell r="KA16"/>
          <cell r="KB16"/>
          <cell r="KE16"/>
          <cell r="KF16"/>
          <cell r="KI16"/>
          <cell r="KJ16"/>
          <cell r="KM16"/>
          <cell r="KN16"/>
          <cell r="KQ16"/>
          <cell r="KR16"/>
          <cell r="KU16"/>
          <cell r="KV16"/>
          <cell r="KY16"/>
          <cell r="KZ16"/>
          <cell r="LC16"/>
          <cell r="LD16"/>
          <cell r="LG16"/>
          <cell r="LH16"/>
          <cell r="LK16"/>
          <cell r="LL16"/>
          <cell r="LO16"/>
          <cell r="LP16"/>
          <cell r="LS16"/>
          <cell r="LT16"/>
          <cell r="LW16"/>
          <cell r="LX16"/>
          <cell r="MA16"/>
          <cell r="MB16"/>
          <cell r="ME16"/>
          <cell r="MF16"/>
          <cell r="MI16"/>
          <cell r="MJ16"/>
          <cell r="MM16"/>
          <cell r="MN16"/>
          <cell r="MQ16"/>
          <cell r="MR16"/>
          <cell r="MU16"/>
          <cell r="MV16"/>
          <cell r="MY16"/>
          <cell r="MZ16"/>
          <cell r="NC16"/>
          <cell r="ND16"/>
          <cell r="NG16"/>
          <cell r="NH16"/>
          <cell r="NK16"/>
          <cell r="NL16"/>
          <cell r="NO16"/>
          <cell r="NP16"/>
          <cell r="NS16"/>
          <cell r="NT16"/>
          <cell r="NW16"/>
          <cell r="NX16"/>
          <cell r="OA16"/>
          <cell r="OB16"/>
          <cell r="OE16"/>
          <cell r="OF16"/>
          <cell r="OI16"/>
          <cell r="OJ16"/>
          <cell r="OM16"/>
          <cell r="ON16"/>
          <cell r="OQ16"/>
          <cell r="OR16"/>
          <cell r="OU16"/>
          <cell r="OV16"/>
          <cell r="OY16"/>
          <cell r="OZ16"/>
          <cell r="PC16"/>
          <cell r="PD16"/>
          <cell r="PG16"/>
          <cell r="PH16"/>
          <cell r="PK16"/>
          <cell r="PL16"/>
          <cell r="PO16"/>
          <cell r="PP16"/>
          <cell r="PS16"/>
          <cell r="PT16"/>
          <cell r="PW16"/>
          <cell r="PX16"/>
          <cell r="QA16"/>
          <cell r="QB16"/>
          <cell r="QE16"/>
          <cell r="QF16"/>
          <cell r="QI16"/>
          <cell r="QJ16"/>
          <cell r="QR16"/>
          <cell r="QS16"/>
          <cell r="QV16"/>
          <cell r="QW16"/>
          <cell r="QZ16"/>
          <cell r="RA16"/>
          <cell r="RD16"/>
          <cell r="RE16"/>
          <cell r="RH16"/>
          <cell r="RI16"/>
          <cell r="RL16"/>
          <cell r="RM16"/>
          <cell r="RP16"/>
          <cell r="RQ16"/>
          <cell r="RT16"/>
          <cell r="RU16"/>
          <cell r="RX16"/>
          <cell r="RY16"/>
          <cell r="SB16"/>
          <cell r="SC16"/>
          <cell r="SF16"/>
          <cell r="SG16"/>
          <cell r="SJ16"/>
          <cell r="SK16"/>
          <cell r="SN16"/>
          <cell r="SO16"/>
          <cell r="SR16"/>
          <cell r="SS16"/>
          <cell r="SV16"/>
          <cell r="SW16"/>
          <cell r="SZ16"/>
          <cell r="TA16"/>
          <cell r="TD16"/>
          <cell r="TE16"/>
          <cell r="TH16"/>
          <cell r="TI16"/>
          <cell r="TL16"/>
          <cell r="TM16"/>
          <cell r="TP16"/>
          <cell r="TQ16"/>
          <cell r="TT16"/>
          <cell r="TU16"/>
          <cell r="TX16"/>
          <cell r="TY16"/>
          <cell r="UB16"/>
          <cell r="UC16"/>
          <cell r="UF16"/>
          <cell r="UG16"/>
          <cell r="UJ16"/>
          <cell r="UK16"/>
          <cell r="UN16"/>
          <cell r="UO16"/>
          <cell r="UR16"/>
          <cell r="US16"/>
          <cell r="UV16"/>
          <cell r="UW16"/>
          <cell r="UZ16"/>
          <cell r="VA16"/>
          <cell r="VD16"/>
          <cell r="VE16"/>
          <cell r="VH16"/>
          <cell r="VI16"/>
          <cell r="VL16"/>
          <cell r="VM16"/>
          <cell r="VP16"/>
          <cell r="VQ16"/>
          <cell r="VT16"/>
          <cell r="VU16"/>
        </row>
        <row r="17">
          <cell r="A17"/>
          <cell r="I17"/>
          <cell r="J17"/>
          <cell r="GA17"/>
          <cell r="GB17"/>
          <cell r="GE17"/>
          <cell r="GF17"/>
          <cell r="GI17"/>
          <cell r="GJ17"/>
          <cell r="GM17"/>
          <cell r="GN17"/>
          <cell r="GQ17"/>
          <cell r="GR17"/>
          <cell r="GU17"/>
          <cell r="GV17"/>
          <cell r="GY17"/>
          <cell r="GZ17"/>
          <cell r="HC17"/>
          <cell r="HD17"/>
          <cell r="HG17"/>
          <cell r="HH17"/>
          <cell r="HK17"/>
          <cell r="HL17"/>
          <cell r="HO17"/>
          <cell r="HP17"/>
          <cell r="HS17"/>
          <cell r="HT17"/>
          <cell r="HW17"/>
          <cell r="HX17"/>
          <cell r="IA17"/>
          <cell r="IB17"/>
          <cell r="IE17"/>
          <cell r="IF17"/>
          <cell r="II17"/>
          <cell r="IJ17"/>
          <cell r="IM17"/>
          <cell r="IN17"/>
          <cell r="IQ17"/>
          <cell r="IR17"/>
          <cell r="IU17"/>
          <cell r="IV17"/>
          <cell r="IY17"/>
          <cell r="IZ17"/>
          <cell r="JC17"/>
          <cell r="JD17"/>
          <cell r="JG17"/>
          <cell r="JH17"/>
          <cell r="JK17"/>
          <cell r="JL17"/>
          <cell r="JO17"/>
          <cell r="JP17"/>
          <cell r="JS17"/>
          <cell r="JT17"/>
          <cell r="JW17"/>
          <cell r="JX17"/>
          <cell r="KA17"/>
          <cell r="KB17"/>
          <cell r="KE17"/>
          <cell r="KF17"/>
          <cell r="KI17"/>
          <cell r="KJ17"/>
          <cell r="KM17"/>
          <cell r="KN17"/>
          <cell r="KQ17"/>
          <cell r="KR17"/>
          <cell r="KU17"/>
          <cell r="KV17"/>
          <cell r="KY17"/>
          <cell r="KZ17"/>
          <cell r="LC17"/>
          <cell r="LD17"/>
          <cell r="LG17"/>
          <cell r="LH17"/>
          <cell r="LK17"/>
          <cell r="LL17"/>
          <cell r="LO17"/>
          <cell r="LP17"/>
          <cell r="LS17"/>
          <cell r="LT17"/>
          <cell r="LW17"/>
          <cell r="LX17"/>
          <cell r="MA17"/>
          <cell r="MB17"/>
          <cell r="ME17"/>
          <cell r="MF17"/>
          <cell r="MI17"/>
          <cell r="MJ17"/>
          <cell r="MM17"/>
          <cell r="MN17"/>
          <cell r="MQ17"/>
          <cell r="MR17"/>
          <cell r="MU17"/>
          <cell r="MV17"/>
          <cell r="MY17"/>
          <cell r="MZ17"/>
          <cell r="NC17"/>
          <cell r="ND17"/>
          <cell r="NG17"/>
          <cell r="NH17"/>
          <cell r="NK17"/>
          <cell r="NL17"/>
          <cell r="NO17"/>
          <cell r="NP17"/>
          <cell r="NS17"/>
          <cell r="NT17"/>
          <cell r="NW17"/>
          <cell r="NX17"/>
          <cell r="OA17"/>
          <cell r="OB17"/>
          <cell r="OE17"/>
          <cell r="OF17"/>
          <cell r="OI17"/>
          <cell r="OJ17"/>
          <cell r="OM17"/>
          <cell r="ON17"/>
          <cell r="OQ17"/>
          <cell r="OR17"/>
          <cell r="OU17"/>
          <cell r="OV17"/>
          <cell r="OY17"/>
          <cell r="OZ17"/>
          <cell r="PC17"/>
          <cell r="PD17"/>
          <cell r="PG17"/>
          <cell r="PH17"/>
          <cell r="PK17"/>
          <cell r="PL17"/>
          <cell r="PO17"/>
          <cell r="PP17"/>
          <cell r="PS17"/>
          <cell r="PT17"/>
          <cell r="PW17"/>
          <cell r="PX17"/>
          <cell r="QA17"/>
          <cell r="QB17"/>
          <cell r="QE17"/>
          <cell r="QF17"/>
          <cell r="QI17"/>
          <cell r="QJ17"/>
          <cell r="QR17"/>
          <cell r="QS17"/>
          <cell r="QV17"/>
          <cell r="QW17"/>
          <cell r="QZ17"/>
          <cell r="RA17"/>
          <cell r="RD17"/>
          <cell r="RE17"/>
          <cell r="RH17"/>
          <cell r="RI17"/>
          <cell r="RL17"/>
          <cell r="RM17"/>
          <cell r="RP17"/>
          <cell r="RQ17"/>
          <cell r="RT17"/>
          <cell r="RU17"/>
          <cell r="RX17"/>
          <cell r="RY17"/>
          <cell r="SB17"/>
          <cell r="SC17"/>
          <cell r="SF17"/>
          <cell r="SG17"/>
          <cell r="SJ17"/>
          <cell r="SK17"/>
          <cell r="SN17"/>
          <cell r="SO17"/>
          <cell r="SR17"/>
          <cell r="SS17"/>
          <cell r="SV17"/>
          <cell r="SW17"/>
          <cell r="SZ17"/>
          <cell r="TA17"/>
          <cell r="TD17"/>
          <cell r="TE17"/>
          <cell r="TH17"/>
          <cell r="TI17"/>
          <cell r="TL17"/>
          <cell r="TM17"/>
          <cell r="TP17"/>
          <cell r="TQ17"/>
          <cell r="TT17"/>
          <cell r="TU17"/>
          <cell r="TX17"/>
          <cell r="TY17"/>
          <cell r="UB17"/>
          <cell r="UC17"/>
          <cell r="UF17"/>
          <cell r="UG17"/>
          <cell r="UJ17"/>
          <cell r="UK17"/>
          <cell r="UN17"/>
          <cell r="UO17"/>
          <cell r="UR17"/>
          <cell r="US17"/>
          <cell r="UV17"/>
          <cell r="UW17"/>
          <cell r="UZ17"/>
          <cell r="VA17"/>
          <cell r="VD17"/>
          <cell r="VE17"/>
          <cell r="VH17"/>
          <cell r="VI17"/>
          <cell r="VL17"/>
          <cell r="VM17"/>
          <cell r="VP17"/>
          <cell r="VQ17"/>
          <cell r="VT17"/>
          <cell r="VU17"/>
        </row>
        <row r="18">
          <cell r="A18"/>
          <cell r="I18"/>
          <cell r="J18"/>
          <cell r="GA18"/>
          <cell r="GB18"/>
          <cell r="GE18"/>
          <cell r="GF18"/>
          <cell r="GI18"/>
          <cell r="GJ18"/>
          <cell r="GM18"/>
          <cell r="GN18"/>
          <cell r="GQ18"/>
          <cell r="GR18"/>
          <cell r="GU18"/>
          <cell r="GV18"/>
          <cell r="GY18"/>
          <cell r="GZ18"/>
          <cell r="HC18"/>
          <cell r="HD18"/>
          <cell r="HG18"/>
          <cell r="HH18"/>
          <cell r="HK18"/>
          <cell r="HL18"/>
          <cell r="HO18"/>
          <cell r="HP18"/>
          <cell r="HS18"/>
          <cell r="HT18"/>
          <cell r="HW18"/>
          <cell r="HX18"/>
          <cell r="IA18"/>
          <cell r="IB18"/>
          <cell r="IE18"/>
          <cell r="IF18"/>
          <cell r="II18"/>
          <cell r="IJ18"/>
          <cell r="IM18"/>
          <cell r="IN18"/>
          <cell r="IQ18"/>
          <cell r="IR18"/>
          <cell r="IU18"/>
          <cell r="IV18"/>
          <cell r="IY18"/>
          <cell r="IZ18"/>
          <cell r="JC18"/>
          <cell r="JD18"/>
          <cell r="JG18"/>
          <cell r="JH18"/>
          <cell r="JK18"/>
          <cell r="JL18"/>
          <cell r="JO18"/>
          <cell r="JP18"/>
          <cell r="JS18"/>
          <cell r="JT18"/>
          <cell r="JW18"/>
          <cell r="JX18"/>
          <cell r="KA18"/>
          <cell r="KB18"/>
          <cell r="KE18"/>
          <cell r="KF18"/>
          <cell r="KI18"/>
          <cell r="KJ18"/>
          <cell r="KM18"/>
          <cell r="KN18"/>
          <cell r="KQ18"/>
          <cell r="KR18"/>
          <cell r="KU18"/>
          <cell r="KV18"/>
          <cell r="KY18"/>
          <cell r="KZ18"/>
          <cell r="LC18"/>
          <cell r="LD18"/>
          <cell r="LG18"/>
          <cell r="LH18"/>
          <cell r="LK18"/>
          <cell r="LL18"/>
          <cell r="LO18"/>
          <cell r="LP18"/>
          <cell r="LS18"/>
          <cell r="LT18"/>
          <cell r="LW18"/>
          <cell r="LX18"/>
          <cell r="MA18"/>
          <cell r="MB18"/>
          <cell r="ME18"/>
          <cell r="MF18"/>
          <cell r="MI18"/>
          <cell r="MJ18"/>
          <cell r="MM18"/>
          <cell r="MN18"/>
          <cell r="MQ18"/>
          <cell r="MR18"/>
          <cell r="MU18"/>
          <cell r="MV18"/>
          <cell r="MY18"/>
          <cell r="MZ18"/>
          <cell r="NC18"/>
          <cell r="ND18"/>
          <cell r="NG18"/>
          <cell r="NH18"/>
          <cell r="NK18"/>
          <cell r="NL18"/>
          <cell r="NO18"/>
          <cell r="NP18"/>
          <cell r="NS18"/>
          <cell r="NT18"/>
          <cell r="NW18"/>
          <cell r="NX18"/>
          <cell r="OA18"/>
          <cell r="OB18"/>
          <cell r="OE18"/>
          <cell r="OF18"/>
          <cell r="OI18"/>
          <cell r="OJ18"/>
          <cell r="OM18"/>
          <cell r="ON18"/>
          <cell r="OQ18"/>
          <cell r="OR18"/>
          <cell r="OU18"/>
          <cell r="OV18"/>
          <cell r="OY18"/>
          <cell r="OZ18"/>
          <cell r="PC18"/>
          <cell r="PD18"/>
          <cell r="PG18"/>
          <cell r="PH18"/>
          <cell r="PK18"/>
          <cell r="PL18"/>
          <cell r="PO18"/>
          <cell r="PP18"/>
          <cell r="PS18"/>
          <cell r="PT18"/>
          <cell r="PW18"/>
          <cell r="PX18"/>
          <cell r="QA18"/>
          <cell r="QB18"/>
          <cell r="QE18"/>
          <cell r="QF18"/>
          <cell r="QI18"/>
          <cell r="QJ18"/>
          <cell r="QR18"/>
          <cell r="QS18"/>
          <cell r="QV18"/>
          <cell r="QW18"/>
          <cell r="QZ18"/>
          <cell r="RA18"/>
          <cell r="RD18"/>
          <cell r="RE18"/>
          <cell r="RH18"/>
          <cell r="RI18"/>
          <cell r="RL18"/>
          <cell r="RM18"/>
          <cell r="RP18"/>
          <cell r="RQ18"/>
          <cell r="RT18"/>
          <cell r="RU18"/>
          <cell r="RX18"/>
          <cell r="RY18"/>
          <cell r="SB18"/>
          <cell r="SC18"/>
          <cell r="SF18"/>
          <cell r="SG18"/>
          <cell r="SJ18"/>
          <cell r="SK18"/>
          <cell r="SN18"/>
          <cell r="SO18"/>
          <cell r="SR18"/>
          <cell r="SS18"/>
          <cell r="SV18"/>
          <cell r="SW18"/>
          <cell r="SZ18"/>
          <cell r="TA18"/>
          <cell r="TD18"/>
          <cell r="TE18"/>
          <cell r="TH18"/>
          <cell r="TI18"/>
          <cell r="TL18"/>
          <cell r="TM18"/>
          <cell r="TP18"/>
          <cell r="TQ18"/>
          <cell r="TT18"/>
          <cell r="TU18"/>
          <cell r="TX18"/>
          <cell r="TY18"/>
          <cell r="UB18"/>
          <cell r="UC18"/>
          <cell r="UF18"/>
          <cell r="UG18"/>
          <cell r="UJ18"/>
          <cell r="UK18"/>
          <cell r="UN18"/>
          <cell r="UO18"/>
          <cell r="UR18"/>
          <cell r="US18"/>
          <cell r="UV18"/>
          <cell r="UW18"/>
          <cell r="UZ18"/>
          <cell r="VA18"/>
          <cell r="VD18"/>
          <cell r="VE18"/>
          <cell r="VH18"/>
          <cell r="VI18"/>
          <cell r="VL18"/>
          <cell r="VM18"/>
          <cell r="VP18"/>
          <cell r="VQ18"/>
          <cell r="VT18"/>
          <cell r="VU18"/>
        </row>
        <row r="19">
          <cell r="A19"/>
          <cell r="I19"/>
          <cell r="J19"/>
          <cell r="GA19"/>
          <cell r="GB19"/>
          <cell r="GE19"/>
          <cell r="GF19"/>
          <cell r="GI19"/>
          <cell r="GJ19"/>
          <cell r="GM19"/>
          <cell r="GN19"/>
          <cell r="GQ19"/>
          <cell r="GR19"/>
          <cell r="GU19"/>
          <cell r="GV19"/>
          <cell r="GY19"/>
          <cell r="GZ19"/>
          <cell r="HC19"/>
          <cell r="HD19"/>
          <cell r="HG19"/>
          <cell r="HH19"/>
          <cell r="HK19"/>
          <cell r="HL19"/>
          <cell r="HO19"/>
          <cell r="HP19"/>
          <cell r="HS19"/>
          <cell r="HT19"/>
          <cell r="HW19"/>
          <cell r="HX19"/>
          <cell r="IA19"/>
          <cell r="IB19"/>
          <cell r="IE19"/>
          <cell r="IF19"/>
          <cell r="II19"/>
          <cell r="IJ19"/>
          <cell r="IM19"/>
          <cell r="IN19"/>
          <cell r="IQ19"/>
          <cell r="IR19"/>
          <cell r="IU19"/>
          <cell r="IV19"/>
          <cell r="IY19"/>
          <cell r="IZ19"/>
          <cell r="JC19"/>
          <cell r="JD19"/>
          <cell r="JG19"/>
          <cell r="JH19"/>
          <cell r="JK19"/>
          <cell r="JL19"/>
          <cell r="JO19"/>
          <cell r="JP19"/>
          <cell r="JS19"/>
          <cell r="JT19"/>
          <cell r="JW19"/>
          <cell r="JX19"/>
          <cell r="KA19"/>
          <cell r="KB19"/>
          <cell r="KE19"/>
          <cell r="KF19"/>
          <cell r="KI19"/>
          <cell r="KJ19"/>
          <cell r="KM19"/>
          <cell r="KN19"/>
          <cell r="KQ19"/>
          <cell r="KR19"/>
          <cell r="KU19"/>
          <cell r="KV19"/>
          <cell r="KY19"/>
          <cell r="KZ19"/>
          <cell r="LC19"/>
          <cell r="LD19"/>
          <cell r="LG19"/>
          <cell r="LH19"/>
          <cell r="LK19"/>
          <cell r="LL19"/>
          <cell r="LO19"/>
          <cell r="LP19"/>
          <cell r="LS19"/>
          <cell r="LT19"/>
          <cell r="LW19"/>
          <cell r="LX19"/>
          <cell r="MA19"/>
          <cell r="MB19"/>
          <cell r="ME19"/>
          <cell r="MF19"/>
          <cell r="MI19"/>
          <cell r="MJ19"/>
          <cell r="MM19"/>
          <cell r="MN19"/>
          <cell r="MQ19"/>
          <cell r="MR19"/>
          <cell r="MU19"/>
          <cell r="MV19"/>
          <cell r="MY19"/>
          <cell r="MZ19"/>
          <cell r="NC19"/>
          <cell r="ND19"/>
          <cell r="NG19"/>
          <cell r="NH19"/>
          <cell r="NK19"/>
          <cell r="NL19"/>
          <cell r="NO19"/>
          <cell r="NP19"/>
          <cell r="NS19"/>
          <cell r="NT19"/>
          <cell r="NW19"/>
          <cell r="NX19"/>
          <cell r="OA19"/>
          <cell r="OB19"/>
          <cell r="OE19"/>
          <cell r="OF19"/>
          <cell r="OI19"/>
          <cell r="OJ19"/>
          <cell r="OM19"/>
          <cell r="ON19"/>
          <cell r="OQ19"/>
          <cell r="OR19"/>
          <cell r="OU19"/>
          <cell r="OV19"/>
          <cell r="OY19"/>
          <cell r="OZ19"/>
          <cell r="PC19"/>
          <cell r="PD19"/>
          <cell r="PG19"/>
          <cell r="PH19"/>
          <cell r="PK19"/>
          <cell r="PL19"/>
          <cell r="PO19"/>
          <cell r="PP19"/>
          <cell r="PS19"/>
          <cell r="PT19"/>
          <cell r="PW19"/>
          <cell r="PX19"/>
          <cell r="QA19"/>
          <cell r="QB19"/>
          <cell r="QE19"/>
          <cell r="QF19"/>
          <cell r="QI19"/>
          <cell r="QJ19"/>
          <cell r="QR19"/>
          <cell r="QS19"/>
          <cell r="QV19"/>
          <cell r="QW19"/>
          <cell r="QZ19"/>
          <cell r="RA19"/>
          <cell r="RD19"/>
          <cell r="RE19"/>
          <cell r="RH19"/>
          <cell r="RI19"/>
          <cell r="RL19"/>
          <cell r="RM19"/>
          <cell r="RP19"/>
          <cell r="RQ19"/>
          <cell r="RT19"/>
          <cell r="RU19"/>
          <cell r="RX19"/>
          <cell r="RY19"/>
          <cell r="SB19"/>
          <cell r="SC19"/>
          <cell r="SF19"/>
          <cell r="SG19"/>
          <cell r="SJ19"/>
          <cell r="SK19"/>
          <cell r="SN19"/>
          <cell r="SO19"/>
          <cell r="SR19"/>
          <cell r="SS19"/>
          <cell r="SV19"/>
          <cell r="SW19"/>
          <cell r="SZ19"/>
          <cell r="TA19"/>
          <cell r="TD19"/>
          <cell r="TE19"/>
          <cell r="TH19"/>
          <cell r="TI19"/>
          <cell r="TL19"/>
          <cell r="TM19"/>
          <cell r="TP19"/>
          <cell r="TQ19"/>
          <cell r="TT19"/>
          <cell r="TU19"/>
          <cell r="TX19"/>
          <cell r="TY19"/>
          <cell r="UB19"/>
          <cell r="UC19"/>
          <cell r="UF19"/>
          <cell r="UG19"/>
          <cell r="UJ19"/>
          <cell r="UK19"/>
          <cell r="UN19"/>
          <cell r="UO19"/>
          <cell r="UR19"/>
          <cell r="US19"/>
          <cell r="UV19"/>
          <cell r="UW19"/>
          <cell r="UZ19"/>
          <cell r="VA19"/>
          <cell r="VD19"/>
          <cell r="VE19"/>
          <cell r="VH19"/>
          <cell r="VI19"/>
          <cell r="VL19"/>
          <cell r="VM19"/>
          <cell r="VP19"/>
          <cell r="VQ19"/>
          <cell r="VT19"/>
          <cell r="VU19"/>
        </row>
        <row r="20">
          <cell r="A20"/>
          <cell r="I20"/>
          <cell r="J20"/>
          <cell r="GA20"/>
          <cell r="GB20"/>
          <cell r="GE20"/>
          <cell r="GF20"/>
          <cell r="GI20"/>
          <cell r="GJ20"/>
          <cell r="GM20"/>
          <cell r="GN20"/>
          <cell r="GQ20"/>
          <cell r="GR20"/>
          <cell r="GU20"/>
          <cell r="GV20"/>
          <cell r="GY20"/>
          <cell r="GZ20"/>
          <cell r="HC20"/>
          <cell r="HD20"/>
          <cell r="HG20"/>
          <cell r="HH20"/>
          <cell r="HK20"/>
          <cell r="HL20"/>
          <cell r="HO20"/>
          <cell r="HP20"/>
          <cell r="HS20"/>
          <cell r="HT20"/>
          <cell r="HW20"/>
          <cell r="HX20"/>
          <cell r="IA20"/>
          <cell r="IB20"/>
          <cell r="IE20"/>
          <cell r="IF20"/>
          <cell r="II20"/>
          <cell r="IJ20"/>
          <cell r="IM20"/>
          <cell r="IN20"/>
          <cell r="IQ20"/>
          <cell r="IR20"/>
          <cell r="IU20"/>
          <cell r="IV20"/>
          <cell r="IY20"/>
          <cell r="IZ20"/>
          <cell r="JC20"/>
          <cell r="JD20"/>
          <cell r="JG20"/>
          <cell r="JH20"/>
          <cell r="JK20"/>
          <cell r="JL20"/>
          <cell r="JO20"/>
          <cell r="JP20"/>
          <cell r="JS20"/>
          <cell r="JT20"/>
          <cell r="JW20"/>
          <cell r="JX20"/>
          <cell r="KA20"/>
          <cell r="KB20"/>
          <cell r="KE20"/>
          <cell r="KF20"/>
          <cell r="KI20"/>
          <cell r="KJ20"/>
          <cell r="KM20"/>
          <cell r="KN20"/>
          <cell r="KQ20"/>
          <cell r="KR20"/>
          <cell r="KU20"/>
          <cell r="KV20"/>
          <cell r="KY20"/>
          <cell r="KZ20"/>
          <cell r="LC20"/>
          <cell r="LD20"/>
          <cell r="LG20"/>
          <cell r="LH20"/>
          <cell r="LK20"/>
          <cell r="LL20"/>
          <cell r="LO20"/>
          <cell r="LP20"/>
          <cell r="LS20"/>
          <cell r="LT20"/>
          <cell r="LW20"/>
          <cell r="LX20"/>
          <cell r="MA20"/>
          <cell r="MB20"/>
          <cell r="ME20"/>
          <cell r="MF20"/>
          <cell r="MI20"/>
          <cell r="MJ20"/>
          <cell r="MM20"/>
          <cell r="MN20"/>
          <cell r="MQ20"/>
          <cell r="MR20"/>
          <cell r="MU20"/>
          <cell r="MV20"/>
          <cell r="MY20"/>
          <cell r="MZ20"/>
          <cell r="NC20"/>
          <cell r="ND20"/>
          <cell r="NG20"/>
          <cell r="NH20"/>
          <cell r="NK20"/>
          <cell r="NL20"/>
          <cell r="NO20"/>
          <cell r="NP20"/>
          <cell r="NS20"/>
          <cell r="NT20"/>
          <cell r="NW20"/>
          <cell r="NX20"/>
          <cell r="OA20"/>
          <cell r="OB20"/>
          <cell r="OE20"/>
          <cell r="OF20"/>
          <cell r="OI20"/>
          <cell r="OJ20"/>
          <cell r="OM20"/>
          <cell r="ON20"/>
          <cell r="OQ20"/>
          <cell r="OR20"/>
          <cell r="OU20"/>
          <cell r="OV20"/>
          <cell r="OY20"/>
          <cell r="OZ20"/>
          <cell r="PC20"/>
          <cell r="PD20"/>
          <cell r="PG20"/>
          <cell r="PH20"/>
          <cell r="PK20"/>
          <cell r="PL20"/>
          <cell r="PO20"/>
          <cell r="PP20"/>
          <cell r="PS20"/>
          <cell r="PT20"/>
          <cell r="PW20"/>
          <cell r="PX20"/>
          <cell r="QA20"/>
          <cell r="QB20"/>
          <cell r="QE20"/>
          <cell r="QF20"/>
          <cell r="QI20"/>
          <cell r="QJ20"/>
          <cell r="QR20"/>
          <cell r="QS20"/>
          <cell r="QV20"/>
          <cell r="QW20"/>
          <cell r="QZ20"/>
          <cell r="RA20"/>
          <cell r="RD20"/>
          <cell r="RE20"/>
          <cell r="RH20"/>
          <cell r="RI20"/>
          <cell r="RL20"/>
          <cell r="RM20"/>
          <cell r="RP20"/>
          <cell r="RQ20"/>
          <cell r="RT20"/>
          <cell r="RU20"/>
          <cell r="RX20"/>
          <cell r="RY20"/>
          <cell r="SB20"/>
          <cell r="SC20"/>
          <cell r="SF20"/>
          <cell r="SG20"/>
          <cell r="SJ20"/>
          <cell r="SK20"/>
          <cell r="SN20"/>
          <cell r="SO20"/>
          <cell r="SR20"/>
          <cell r="SS20"/>
          <cell r="SV20"/>
          <cell r="SW20"/>
          <cell r="SZ20"/>
          <cell r="TA20"/>
          <cell r="TD20"/>
          <cell r="TE20"/>
          <cell r="TH20"/>
          <cell r="TI20"/>
          <cell r="TL20"/>
          <cell r="TM20"/>
          <cell r="TP20"/>
          <cell r="TQ20"/>
          <cell r="TT20"/>
          <cell r="TU20"/>
          <cell r="TX20"/>
          <cell r="TY20"/>
          <cell r="UB20"/>
          <cell r="UC20"/>
          <cell r="UF20"/>
          <cell r="UG20"/>
          <cell r="UJ20"/>
          <cell r="UK20"/>
          <cell r="UN20"/>
          <cell r="UO20"/>
          <cell r="UR20"/>
          <cell r="US20"/>
          <cell r="UV20"/>
          <cell r="UW20"/>
          <cell r="UZ20"/>
          <cell r="VA20"/>
          <cell r="VD20"/>
          <cell r="VE20"/>
          <cell r="VH20"/>
          <cell r="VI20"/>
          <cell r="VL20"/>
          <cell r="VM20"/>
          <cell r="VP20"/>
          <cell r="VQ20"/>
          <cell r="VT20"/>
          <cell r="VU20"/>
        </row>
        <row r="21">
          <cell r="A21"/>
          <cell r="I21"/>
          <cell r="J21"/>
          <cell r="GA21"/>
          <cell r="GB21"/>
          <cell r="GE21"/>
          <cell r="GF21"/>
          <cell r="GI21"/>
          <cell r="GJ21"/>
          <cell r="GM21"/>
          <cell r="GN21"/>
          <cell r="GQ21"/>
          <cell r="GR21"/>
          <cell r="GU21"/>
          <cell r="GV21"/>
          <cell r="GY21"/>
          <cell r="GZ21"/>
          <cell r="HC21"/>
          <cell r="HD21"/>
          <cell r="HG21"/>
          <cell r="HH21"/>
          <cell r="HK21"/>
          <cell r="HL21"/>
          <cell r="HO21"/>
          <cell r="HP21"/>
          <cell r="HS21"/>
          <cell r="HT21"/>
          <cell r="HW21"/>
          <cell r="HX21"/>
          <cell r="IA21"/>
          <cell r="IB21"/>
          <cell r="IE21"/>
          <cell r="IF21"/>
          <cell r="II21"/>
          <cell r="IJ21"/>
          <cell r="IM21"/>
          <cell r="IN21"/>
          <cell r="IQ21"/>
          <cell r="IR21"/>
          <cell r="IU21"/>
          <cell r="IV21"/>
          <cell r="IY21"/>
          <cell r="IZ21"/>
          <cell r="JC21"/>
          <cell r="JD21"/>
          <cell r="JG21"/>
          <cell r="JH21"/>
          <cell r="JK21"/>
          <cell r="JL21"/>
          <cell r="JO21"/>
          <cell r="JP21"/>
          <cell r="JS21"/>
          <cell r="JT21"/>
          <cell r="JW21"/>
          <cell r="JX21"/>
          <cell r="KA21"/>
          <cell r="KB21"/>
          <cell r="KE21"/>
          <cell r="KF21"/>
          <cell r="KI21"/>
          <cell r="KJ21"/>
          <cell r="KM21"/>
          <cell r="KN21"/>
          <cell r="KQ21"/>
          <cell r="KR21"/>
          <cell r="KU21"/>
          <cell r="KV21"/>
          <cell r="KY21"/>
          <cell r="KZ21"/>
          <cell r="LC21"/>
          <cell r="LD21"/>
          <cell r="LG21"/>
          <cell r="LH21"/>
          <cell r="LK21"/>
          <cell r="LL21"/>
          <cell r="LO21"/>
          <cell r="LP21"/>
          <cell r="LS21"/>
          <cell r="LT21"/>
          <cell r="LW21"/>
          <cell r="LX21"/>
          <cell r="MA21"/>
          <cell r="MB21"/>
          <cell r="ME21"/>
          <cell r="MF21"/>
          <cell r="MI21"/>
          <cell r="MJ21"/>
          <cell r="MM21"/>
          <cell r="MN21"/>
          <cell r="MQ21"/>
          <cell r="MR21"/>
          <cell r="MU21"/>
          <cell r="MV21"/>
          <cell r="MY21"/>
          <cell r="MZ21"/>
          <cell r="NC21"/>
          <cell r="ND21"/>
          <cell r="NG21"/>
          <cell r="NH21"/>
          <cell r="NK21"/>
          <cell r="NL21"/>
          <cell r="NO21"/>
          <cell r="NP21"/>
          <cell r="NS21"/>
          <cell r="NT21"/>
          <cell r="NW21"/>
          <cell r="NX21"/>
          <cell r="OA21"/>
          <cell r="OB21"/>
          <cell r="OE21"/>
          <cell r="OF21"/>
          <cell r="OI21"/>
          <cell r="OJ21"/>
          <cell r="OM21"/>
          <cell r="ON21"/>
          <cell r="OQ21"/>
          <cell r="OR21"/>
          <cell r="OU21"/>
          <cell r="OV21"/>
          <cell r="OY21"/>
          <cell r="OZ21"/>
          <cell r="PC21"/>
          <cell r="PD21"/>
          <cell r="PG21"/>
          <cell r="PH21"/>
          <cell r="PK21"/>
          <cell r="PL21"/>
          <cell r="PO21"/>
          <cell r="PP21"/>
          <cell r="PS21"/>
          <cell r="PT21"/>
          <cell r="PW21"/>
          <cell r="PX21"/>
          <cell r="QA21"/>
          <cell r="QB21"/>
          <cell r="QE21"/>
          <cell r="QF21"/>
          <cell r="QI21"/>
          <cell r="QJ21"/>
          <cell r="QR21"/>
          <cell r="QS21"/>
          <cell r="QV21"/>
          <cell r="QW21"/>
          <cell r="QZ21"/>
          <cell r="RA21"/>
          <cell r="RD21"/>
          <cell r="RE21"/>
          <cell r="RH21"/>
          <cell r="RI21"/>
          <cell r="RL21"/>
          <cell r="RM21"/>
          <cell r="RP21"/>
          <cell r="RQ21"/>
          <cell r="RT21"/>
          <cell r="RU21"/>
          <cell r="RX21"/>
          <cell r="RY21"/>
          <cell r="SB21"/>
          <cell r="SC21"/>
          <cell r="SF21"/>
          <cell r="SG21"/>
          <cell r="SJ21"/>
          <cell r="SK21"/>
          <cell r="SN21"/>
          <cell r="SO21"/>
          <cell r="SR21"/>
          <cell r="SS21"/>
          <cell r="SV21"/>
          <cell r="SW21"/>
          <cell r="SZ21"/>
          <cell r="TA21"/>
          <cell r="TD21"/>
          <cell r="TE21"/>
          <cell r="TH21"/>
          <cell r="TI21"/>
          <cell r="TL21"/>
          <cell r="TM21"/>
          <cell r="TP21"/>
          <cell r="TQ21"/>
          <cell r="TT21"/>
          <cell r="TU21"/>
          <cell r="TX21"/>
          <cell r="TY21"/>
          <cell r="UB21"/>
          <cell r="UC21"/>
          <cell r="UF21"/>
          <cell r="UG21"/>
          <cell r="UJ21"/>
          <cell r="UK21"/>
          <cell r="UN21"/>
          <cell r="UO21"/>
          <cell r="UR21"/>
          <cell r="US21"/>
          <cell r="UV21"/>
          <cell r="UW21"/>
          <cell r="UZ21"/>
          <cell r="VA21"/>
          <cell r="VD21"/>
          <cell r="VE21"/>
          <cell r="VH21"/>
          <cell r="VI21"/>
          <cell r="VL21"/>
          <cell r="VM21"/>
          <cell r="VP21"/>
          <cell r="VQ21"/>
          <cell r="VT21"/>
          <cell r="VU21"/>
        </row>
        <row r="22">
          <cell r="A22"/>
          <cell r="I22"/>
          <cell r="J22"/>
          <cell r="GA22"/>
          <cell r="GB22"/>
          <cell r="GE22"/>
          <cell r="GF22"/>
          <cell r="GI22"/>
          <cell r="GJ22"/>
          <cell r="GM22"/>
          <cell r="GN22"/>
          <cell r="GQ22"/>
          <cell r="GR22"/>
          <cell r="GU22"/>
          <cell r="GV22"/>
          <cell r="GY22"/>
          <cell r="GZ22"/>
          <cell r="HC22"/>
          <cell r="HD22"/>
          <cell r="HG22"/>
          <cell r="HH22"/>
          <cell r="HK22"/>
          <cell r="HL22"/>
          <cell r="HO22"/>
          <cell r="HP22"/>
          <cell r="HS22"/>
          <cell r="HT22"/>
          <cell r="HW22"/>
          <cell r="HX22"/>
          <cell r="IA22"/>
          <cell r="IB22"/>
          <cell r="IE22"/>
          <cell r="IF22"/>
          <cell r="II22"/>
          <cell r="IJ22"/>
          <cell r="IM22"/>
          <cell r="IN22"/>
          <cell r="IQ22"/>
          <cell r="IR22"/>
          <cell r="IU22"/>
          <cell r="IV22"/>
          <cell r="IY22"/>
          <cell r="IZ22"/>
          <cell r="JC22"/>
          <cell r="JD22"/>
          <cell r="JG22"/>
          <cell r="JH22"/>
          <cell r="JK22"/>
          <cell r="JL22"/>
          <cell r="JO22"/>
          <cell r="JP22"/>
          <cell r="JS22"/>
          <cell r="JT22"/>
          <cell r="JW22"/>
          <cell r="JX22"/>
          <cell r="KA22"/>
          <cell r="KB22"/>
          <cell r="KE22"/>
          <cell r="KF22"/>
          <cell r="KI22"/>
          <cell r="KJ22"/>
          <cell r="KM22"/>
          <cell r="KN22"/>
          <cell r="KQ22"/>
          <cell r="KR22"/>
          <cell r="KU22"/>
          <cell r="KV22"/>
          <cell r="KY22"/>
          <cell r="KZ22"/>
          <cell r="LC22"/>
          <cell r="LD22"/>
          <cell r="LG22"/>
          <cell r="LH22"/>
          <cell r="LK22"/>
          <cell r="LL22"/>
          <cell r="LO22"/>
          <cell r="LP22"/>
          <cell r="LS22"/>
          <cell r="LT22"/>
          <cell r="LW22"/>
          <cell r="LX22"/>
          <cell r="MA22"/>
          <cell r="MB22"/>
          <cell r="ME22"/>
          <cell r="MF22"/>
          <cell r="MI22"/>
          <cell r="MJ22"/>
          <cell r="MM22"/>
          <cell r="MN22"/>
          <cell r="MQ22"/>
          <cell r="MR22"/>
          <cell r="MU22"/>
          <cell r="MV22"/>
          <cell r="MY22"/>
          <cell r="MZ22"/>
          <cell r="NC22"/>
          <cell r="ND22"/>
          <cell r="NG22"/>
          <cell r="NH22"/>
          <cell r="NK22"/>
          <cell r="NL22"/>
          <cell r="NO22"/>
          <cell r="NP22"/>
          <cell r="NS22"/>
          <cell r="NT22"/>
          <cell r="NW22"/>
          <cell r="NX22"/>
          <cell r="OA22"/>
          <cell r="OB22"/>
          <cell r="OE22"/>
          <cell r="OF22"/>
          <cell r="OI22"/>
          <cell r="OJ22"/>
          <cell r="OM22"/>
          <cell r="ON22"/>
          <cell r="OQ22"/>
          <cell r="OR22"/>
          <cell r="OU22"/>
          <cell r="OV22"/>
          <cell r="OY22"/>
          <cell r="OZ22"/>
          <cell r="PC22"/>
          <cell r="PD22"/>
          <cell r="PG22"/>
          <cell r="PH22"/>
          <cell r="PK22"/>
          <cell r="PL22"/>
          <cell r="PO22"/>
          <cell r="PP22"/>
          <cell r="PS22"/>
          <cell r="PT22"/>
          <cell r="PW22"/>
          <cell r="PX22"/>
          <cell r="QA22"/>
          <cell r="QB22"/>
          <cell r="QE22"/>
          <cell r="QF22"/>
          <cell r="QI22"/>
          <cell r="QJ22"/>
          <cell r="QR22"/>
          <cell r="QS22"/>
          <cell r="QV22"/>
          <cell r="QW22"/>
          <cell r="QZ22"/>
          <cell r="RA22"/>
          <cell r="RD22"/>
          <cell r="RE22"/>
          <cell r="RH22"/>
          <cell r="RI22"/>
          <cell r="RL22"/>
          <cell r="RM22"/>
          <cell r="RP22"/>
          <cell r="RQ22"/>
          <cell r="RT22"/>
          <cell r="RU22"/>
          <cell r="RX22"/>
          <cell r="RY22"/>
          <cell r="SB22"/>
          <cell r="SC22"/>
          <cell r="SF22"/>
          <cell r="SG22"/>
          <cell r="SJ22"/>
          <cell r="SK22"/>
          <cell r="SN22"/>
          <cell r="SO22"/>
          <cell r="SR22"/>
          <cell r="SS22"/>
          <cell r="SV22"/>
          <cell r="SW22"/>
          <cell r="SZ22"/>
          <cell r="TA22"/>
          <cell r="TD22"/>
          <cell r="TE22"/>
          <cell r="TH22"/>
          <cell r="TI22"/>
          <cell r="TL22"/>
          <cell r="TM22"/>
          <cell r="TP22"/>
          <cell r="TQ22"/>
          <cell r="TT22"/>
          <cell r="TU22"/>
          <cell r="TX22"/>
          <cell r="TY22"/>
          <cell r="UB22"/>
          <cell r="UC22"/>
          <cell r="UF22"/>
          <cell r="UG22"/>
          <cell r="UJ22"/>
          <cell r="UK22"/>
          <cell r="UN22"/>
          <cell r="UO22"/>
          <cell r="UR22"/>
          <cell r="US22"/>
          <cell r="UV22"/>
          <cell r="UW22"/>
          <cell r="UZ22"/>
          <cell r="VA22"/>
          <cell r="VD22"/>
          <cell r="VE22"/>
          <cell r="VH22"/>
          <cell r="VI22"/>
          <cell r="VL22"/>
          <cell r="VM22"/>
          <cell r="VP22"/>
          <cell r="VQ22"/>
          <cell r="VT22"/>
          <cell r="VU22"/>
        </row>
        <row r="23">
          <cell r="A23"/>
          <cell r="I23"/>
          <cell r="J23"/>
          <cell r="GA23"/>
          <cell r="GB23"/>
          <cell r="GE23"/>
          <cell r="GF23"/>
          <cell r="GI23"/>
          <cell r="GJ23"/>
          <cell r="GM23"/>
          <cell r="GN23"/>
          <cell r="GQ23"/>
          <cell r="GR23"/>
          <cell r="GU23"/>
          <cell r="GV23"/>
          <cell r="GY23"/>
          <cell r="GZ23"/>
          <cell r="HC23"/>
          <cell r="HD23"/>
          <cell r="HG23"/>
          <cell r="HH23"/>
          <cell r="HK23"/>
          <cell r="HL23"/>
          <cell r="HO23"/>
          <cell r="HP23"/>
          <cell r="HS23"/>
          <cell r="HT23"/>
          <cell r="HW23"/>
          <cell r="HX23"/>
          <cell r="IA23"/>
          <cell r="IB23"/>
          <cell r="IE23"/>
          <cell r="IF23"/>
          <cell r="II23"/>
          <cell r="IJ23"/>
          <cell r="IM23"/>
          <cell r="IN23"/>
          <cell r="IQ23"/>
          <cell r="IR23"/>
          <cell r="IU23"/>
          <cell r="IV23"/>
          <cell r="IY23"/>
          <cell r="IZ23"/>
          <cell r="JC23"/>
          <cell r="JD23"/>
          <cell r="JG23"/>
          <cell r="JH23"/>
          <cell r="JK23"/>
          <cell r="JL23"/>
          <cell r="JO23"/>
          <cell r="JP23"/>
          <cell r="JS23"/>
          <cell r="JT23"/>
          <cell r="JW23"/>
          <cell r="JX23"/>
          <cell r="KA23"/>
          <cell r="KB23"/>
          <cell r="KE23"/>
          <cell r="KF23"/>
          <cell r="KI23"/>
          <cell r="KJ23"/>
          <cell r="KM23"/>
          <cell r="KN23"/>
          <cell r="KQ23"/>
          <cell r="KR23"/>
          <cell r="KU23"/>
          <cell r="KV23"/>
          <cell r="KY23"/>
          <cell r="KZ23"/>
          <cell r="LC23"/>
          <cell r="LD23"/>
          <cell r="LG23"/>
          <cell r="LH23"/>
          <cell r="LK23"/>
          <cell r="LL23"/>
          <cell r="LO23"/>
          <cell r="LP23"/>
          <cell r="LS23"/>
          <cell r="LT23"/>
          <cell r="LW23"/>
          <cell r="LX23"/>
          <cell r="MA23"/>
          <cell r="MB23"/>
          <cell r="ME23"/>
          <cell r="MF23"/>
          <cell r="MI23"/>
          <cell r="MJ23"/>
          <cell r="MM23"/>
          <cell r="MN23"/>
          <cell r="MQ23"/>
          <cell r="MR23"/>
          <cell r="MU23"/>
          <cell r="MV23"/>
          <cell r="MY23"/>
          <cell r="MZ23"/>
          <cell r="NC23"/>
          <cell r="ND23"/>
          <cell r="NG23"/>
          <cell r="NH23"/>
          <cell r="NK23"/>
          <cell r="NL23"/>
          <cell r="NO23"/>
          <cell r="NP23"/>
          <cell r="NS23"/>
          <cell r="NT23"/>
          <cell r="NW23"/>
          <cell r="NX23"/>
          <cell r="OA23"/>
          <cell r="OB23"/>
          <cell r="OE23"/>
          <cell r="OF23"/>
          <cell r="OI23"/>
          <cell r="OJ23"/>
          <cell r="OM23"/>
          <cell r="ON23"/>
          <cell r="OQ23"/>
          <cell r="OR23"/>
          <cell r="OU23"/>
          <cell r="OV23"/>
          <cell r="OY23"/>
          <cell r="OZ23"/>
          <cell r="PC23"/>
          <cell r="PD23"/>
          <cell r="PG23"/>
          <cell r="PH23"/>
          <cell r="PK23"/>
          <cell r="PL23"/>
          <cell r="PO23"/>
          <cell r="PP23"/>
          <cell r="PS23"/>
          <cell r="PT23"/>
          <cell r="PW23"/>
          <cell r="PX23"/>
          <cell r="QA23"/>
          <cell r="QB23"/>
          <cell r="QE23"/>
          <cell r="QF23"/>
          <cell r="QI23"/>
          <cell r="QJ23"/>
          <cell r="QR23"/>
          <cell r="QS23"/>
          <cell r="QV23"/>
          <cell r="QW23"/>
          <cell r="QZ23"/>
          <cell r="RA23"/>
          <cell r="RD23"/>
          <cell r="RE23"/>
          <cell r="RH23"/>
          <cell r="RI23"/>
          <cell r="RL23"/>
          <cell r="RM23"/>
          <cell r="RP23"/>
          <cell r="RQ23"/>
          <cell r="RT23"/>
          <cell r="RU23"/>
          <cell r="RX23"/>
          <cell r="RY23"/>
          <cell r="SB23"/>
          <cell r="SC23"/>
          <cell r="SF23"/>
          <cell r="SG23"/>
          <cell r="SJ23"/>
          <cell r="SK23"/>
          <cell r="SN23"/>
          <cell r="SO23"/>
          <cell r="SR23"/>
          <cell r="SS23"/>
          <cell r="SV23"/>
          <cell r="SW23"/>
          <cell r="SZ23"/>
          <cell r="TA23"/>
          <cell r="TD23"/>
          <cell r="TE23"/>
          <cell r="TH23"/>
          <cell r="TI23"/>
          <cell r="TL23"/>
          <cell r="TM23"/>
          <cell r="TP23"/>
          <cell r="TQ23"/>
          <cell r="TT23"/>
          <cell r="TU23"/>
          <cell r="TX23"/>
          <cell r="TY23"/>
          <cell r="UB23"/>
          <cell r="UC23"/>
          <cell r="UF23"/>
          <cell r="UG23"/>
          <cell r="UJ23"/>
          <cell r="UK23"/>
          <cell r="UN23"/>
          <cell r="UO23"/>
          <cell r="UR23"/>
          <cell r="US23"/>
          <cell r="UV23"/>
          <cell r="UW23"/>
          <cell r="UZ23"/>
          <cell r="VA23"/>
          <cell r="VD23"/>
          <cell r="VE23"/>
          <cell r="VH23"/>
          <cell r="VI23"/>
          <cell r="VL23"/>
          <cell r="VM23"/>
          <cell r="VP23"/>
          <cell r="VQ23"/>
          <cell r="VT23"/>
          <cell r="VU23"/>
        </row>
        <row r="24">
          <cell r="A24"/>
          <cell r="I24"/>
          <cell r="J24"/>
          <cell r="GA24"/>
          <cell r="GB24"/>
          <cell r="GE24"/>
          <cell r="GF24"/>
          <cell r="GI24"/>
          <cell r="GJ24"/>
          <cell r="GM24"/>
          <cell r="GN24"/>
          <cell r="GQ24"/>
          <cell r="GR24"/>
          <cell r="GU24"/>
          <cell r="GV24"/>
          <cell r="GY24"/>
          <cell r="GZ24"/>
          <cell r="HC24"/>
          <cell r="HD24"/>
          <cell r="HG24"/>
          <cell r="HH24"/>
          <cell r="HK24"/>
          <cell r="HL24"/>
          <cell r="HO24"/>
          <cell r="HP24"/>
          <cell r="HS24"/>
          <cell r="HT24"/>
          <cell r="HW24"/>
          <cell r="HX24"/>
          <cell r="IA24"/>
          <cell r="IB24"/>
          <cell r="IE24"/>
          <cell r="IF24"/>
          <cell r="II24"/>
          <cell r="IJ24"/>
          <cell r="IM24"/>
          <cell r="IN24"/>
          <cell r="IQ24"/>
          <cell r="IR24"/>
          <cell r="IU24"/>
          <cell r="IV24"/>
          <cell r="IY24"/>
          <cell r="IZ24"/>
          <cell r="JC24"/>
          <cell r="JD24"/>
          <cell r="JG24"/>
          <cell r="JH24"/>
          <cell r="JK24"/>
          <cell r="JL24"/>
          <cell r="JO24"/>
          <cell r="JP24"/>
          <cell r="JS24"/>
          <cell r="JT24"/>
          <cell r="JW24"/>
          <cell r="JX24"/>
          <cell r="KA24"/>
          <cell r="KB24"/>
          <cell r="KE24"/>
          <cell r="KF24"/>
          <cell r="KI24"/>
          <cell r="KJ24"/>
          <cell r="KM24"/>
          <cell r="KN24"/>
          <cell r="KQ24"/>
          <cell r="KR24"/>
          <cell r="KU24"/>
          <cell r="KV24"/>
          <cell r="KY24"/>
          <cell r="KZ24"/>
          <cell r="LC24"/>
          <cell r="LD24"/>
          <cell r="LG24"/>
          <cell r="LH24"/>
          <cell r="LK24"/>
          <cell r="LL24"/>
          <cell r="LO24"/>
          <cell r="LP24"/>
          <cell r="LS24"/>
          <cell r="LT24"/>
          <cell r="LW24"/>
          <cell r="LX24"/>
          <cell r="MA24"/>
          <cell r="MB24"/>
          <cell r="ME24"/>
          <cell r="MF24"/>
          <cell r="MI24"/>
          <cell r="MJ24"/>
          <cell r="MM24"/>
          <cell r="MN24"/>
          <cell r="MQ24"/>
          <cell r="MR24"/>
          <cell r="MU24"/>
          <cell r="MV24"/>
          <cell r="MY24"/>
          <cell r="MZ24"/>
          <cell r="NC24"/>
          <cell r="ND24"/>
          <cell r="NG24"/>
          <cell r="NH24"/>
          <cell r="NK24"/>
          <cell r="NL24"/>
          <cell r="NO24"/>
          <cell r="NP24"/>
          <cell r="NS24"/>
          <cell r="NT24"/>
          <cell r="NW24"/>
          <cell r="NX24"/>
          <cell r="OA24"/>
          <cell r="OB24"/>
          <cell r="OE24"/>
          <cell r="OF24"/>
          <cell r="OI24"/>
          <cell r="OJ24"/>
          <cell r="OM24"/>
          <cell r="ON24"/>
          <cell r="OQ24"/>
          <cell r="OR24"/>
          <cell r="OU24"/>
          <cell r="OV24"/>
          <cell r="OY24"/>
          <cell r="OZ24"/>
          <cell r="PC24"/>
          <cell r="PD24"/>
          <cell r="PG24"/>
          <cell r="PH24"/>
          <cell r="PK24"/>
          <cell r="PL24"/>
          <cell r="PO24"/>
          <cell r="PP24"/>
          <cell r="PS24"/>
          <cell r="PT24"/>
          <cell r="PW24"/>
          <cell r="PX24"/>
          <cell r="QA24"/>
          <cell r="QB24"/>
          <cell r="QE24"/>
          <cell r="QF24"/>
          <cell r="QI24"/>
          <cell r="QJ24"/>
          <cell r="QR24"/>
          <cell r="QS24"/>
          <cell r="QV24"/>
          <cell r="QW24"/>
          <cell r="QZ24"/>
          <cell r="RA24"/>
          <cell r="RD24"/>
          <cell r="RE24"/>
          <cell r="RH24"/>
          <cell r="RI24"/>
          <cell r="RL24"/>
          <cell r="RM24"/>
          <cell r="RP24"/>
          <cell r="RQ24"/>
          <cell r="RT24"/>
          <cell r="RU24"/>
          <cell r="RX24"/>
          <cell r="RY24"/>
          <cell r="SB24"/>
          <cell r="SC24"/>
          <cell r="SF24"/>
          <cell r="SG24"/>
          <cell r="SJ24"/>
          <cell r="SK24"/>
          <cell r="SN24"/>
          <cell r="SO24"/>
          <cell r="SR24"/>
          <cell r="SS24"/>
          <cell r="SV24"/>
          <cell r="SW24"/>
          <cell r="SZ24"/>
          <cell r="TA24"/>
          <cell r="TD24"/>
          <cell r="TE24"/>
          <cell r="TH24"/>
          <cell r="TI24"/>
          <cell r="TL24"/>
          <cell r="TM24"/>
          <cell r="TP24"/>
          <cell r="TQ24"/>
          <cell r="TT24"/>
          <cell r="TU24"/>
          <cell r="TX24"/>
          <cell r="TY24"/>
          <cell r="UB24"/>
          <cell r="UC24"/>
          <cell r="UF24"/>
          <cell r="UG24"/>
          <cell r="UJ24"/>
          <cell r="UK24"/>
          <cell r="UN24"/>
          <cell r="UO24"/>
          <cell r="UR24"/>
          <cell r="US24"/>
          <cell r="UV24"/>
          <cell r="UW24"/>
          <cell r="UZ24"/>
          <cell r="VA24"/>
          <cell r="VD24"/>
          <cell r="VE24"/>
          <cell r="VH24"/>
          <cell r="VI24"/>
          <cell r="VL24"/>
          <cell r="VM24"/>
          <cell r="VP24"/>
          <cell r="VQ24"/>
          <cell r="VT24"/>
          <cell r="VU24"/>
        </row>
        <row r="25">
          <cell r="A25"/>
          <cell r="I25"/>
          <cell r="J25"/>
          <cell r="GA25"/>
          <cell r="GB25"/>
          <cell r="GE25"/>
          <cell r="GF25"/>
          <cell r="GI25"/>
          <cell r="GJ25"/>
          <cell r="GM25"/>
          <cell r="GN25"/>
          <cell r="GQ25"/>
          <cell r="GR25"/>
          <cell r="GU25"/>
          <cell r="GV25"/>
          <cell r="GY25"/>
          <cell r="GZ25"/>
          <cell r="HC25"/>
          <cell r="HD25"/>
          <cell r="HG25"/>
          <cell r="HH25"/>
          <cell r="HK25"/>
          <cell r="HL25"/>
          <cell r="HO25"/>
          <cell r="HP25"/>
          <cell r="HS25"/>
          <cell r="HT25"/>
          <cell r="HW25"/>
          <cell r="HX25"/>
          <cell r="IA25"/>
          <cell r="IB25"/>
          <cell r="IE25"/>
          <cell r="IF25"/>
          <cell r="II25"/>
          <cell r="IJ25"/>
          <cell r="IM25"/>
          <cell r="IN25"/>
          <cell r="IQ25"/>
          <cell r="IR25"/>
          <cell r="IU25"/>
          <cell r="IV25"/>
          <cell r="IY25"/>
          <cell r="IZ25"/>
          <cell r="JC25"/>
          <cell r="JD25"/>
          <cell r="JG25"/>
          <cell r="JH25"/>
          <cell r="JK25"/>
          <cell r="JL25"/>
          <cell r="JO25"/>
          <cell r="JP25"/>
          <cell r="JS25"/>
          <cell r="JT25"/>
          <cell r="JW25"/>
          <cell r="JX25"/>
          <cell r="KA25"/>
          <cell r="KB25"/>
          <cell r="KE25"/>
          <cell r="KF25"/>
          <cell r="KI25"/>
          <cell r="KJ25"/>
          <cell r="KM25"/>
          <cell r="KN25"/>
          <cell r="KQ25"/>
          <cell r="KR25"/>
          <cell r="KU25"/>
          <cell r="KV25"/>
          <cell r="KY25"/>
          <cell r="KZ25"/>
          <cell r="LC25"/>
          <cell r="LD25"/>
          <cell r="LG25"/>
          <cell r="LH25"/>
          <cell r="LK25"/>
          <cell r="LL25"/>
          <cell r="LO25"/>
          <cell r="LP25"/>
          <cell r="LS25"/>
          <cell r="LT25"/>
          <cell r="LW25"/>
          <cell r="LX25"/>
          <cell r="MA25"/>
          <cell r="MB25"/>
          <cell r="ME25"/>
          <cell r="MF25"/>
          <cell r="MI25"/>
          <cell r="MJ25"/>
          <cell r="MM25"/>
          <cell r="MN25"/>
          <cell r="MQ25"/>
          <cell r="MR25"/>
          <cell r="MU25"/>
          <cell r="MV25"/>
          <cell r="MY25"/>
          <cell r="MZ25"/>
          <cell r="NC25"/>
          <cell r="ND25"/>
          <cell r="NG25"/>
          <cell r="NH25"/>
          <cell r="NK25"/>
          <cell r="NL25"/>
          <cell r="NO25"/>
          <cell r="NP25"/>
          <cell r="NS25"/>
          <cell r="NT25"/>
          <cell r="NW25"/>
          <cell r="NX25"/>
          <cell r="OA25"/>
          <cell r="OB25"/>
          <cell r="OE25"/>
          <cell r="OF25"/>
          <cell r="OI25"/>
          <cell r="OJ25"/>
          <cell r="OM25"/>
          <cell r="ON25"/>
          <cell r="OQ25"/>
          <cell r="OR25"/>
          <cell r="OU25"/>
          <cell r="OV25"/>
          <cell r="OY25"/>
          <cell r="OZ25"/>
          <cell r="PC25"/>
          <cell r="PD25"/>
          <cell r="PG25"/>
          <cell r="PH25"/>
          <cell r="PK25"/>
          <cell r="PL25"/>
          <cell r="PO25"/>
          <cell r="PP25"/>
          <cell r="PS25"/>
          <cell r="PT25"/>
          <cell r="PW25"/>
          <cell r="PX25"/>
          <cell r="QA25"/>
          <cell r="QB25"/>
          <cell r="QE25"/>
          <cell r="QF25"/>
          <cell r="QI25"/>
          <cell r="QJ25"/>
          <cell r="QR25"/>
          <cell r="QS25"/>
          <cell r="QV25"/>
          <cell r="QW25"/>
          <cell r="QZ25"/>
          <cell r="RA25"/>
          <cell r="RD25"/>
          <cell r="RE25"/>
          <cell r="RH25"/>
          <cell r="RI25"/>
          <cell r="RL25"/>
          <cell r="RM25"/>
          <cell r="RP25"/>
          <cell r="RQ25"/>
          <cell r="RT25"/>
          <cell r="RU25"/>
          <cell r="RX25"/>
          <cell r="RY25"/>
          <cell r="SB25"/>
          <cell r="SC25"/>
          <cell r="SF25"/>
          <cell r="SG25"/>
          <cell r="SJ25"/>
          <cell r="SK25"/>
          <cell r="SN25"/>
          <cell r="SO25"/>
          <cell r="SR25"/>
          <cell r="SS25"/>
          <cell r="SV25"/>
          <cell r="SW25"/>
          <cell r="SZ25"/>
          <cell r="TA25"/>
          <cell r="TD25"/>
          <cell r="TE25"/>
          <cell r="TH25"/>
          <cell r="TI25"/>
          <cell r="TL25"/>
          <cell r="TM25"/>
          <cell r="TP25"/>
          <cell r="TQ25"/>
          <cell r="TT25"/>
          <cell r="TU25"/>
          <cell r="TX25"/>
          <cell r="TY25"/>
          <cell r="UB25"/>
          <cell r="UC25"/>
          <cell r="UF25"/>
          <cell r="UG25"/>
          <cell r="UJ25"/>
          <cell r="UK25"/>
          <cell r="UN25"/>
          <cell r="UO25"/>
          <cell r="UR25"/>
          <cell r="US25"/>
          <cell r="UV25"/>
          <cell r="UW25"/>
          <cell r="UZ25"/>
          <cell r="VA25"/>
          <cell r="VD25"/>
          <cell r="VE25"/>
          <cell r="VH25"/>
          <cell r="VI25"/>
          <cell r="VL25"/>
          <cell r="VM25"/>
          <cell r="VP25"/>
          <cell r="VQ25"/>
          <cell r="VT25"/>
          <cell r="VU25"/>
        </row>
        <row r="26">
          <cell r="A26"/>
          <cell r="I26"/>
          <cell r="J26"/>
          <cell r="GA26"/>
          <cell r="GB26"/>
          <cell r="GE26"/>
          <cell r="GF26"/>
          <cell r="GI26"/>
          <cell r="GJ26"/>
          <cell r="GM26"/>
          <cell r="GN26"/>
          <cell r="GQ26"/>
          <cell r="GR26"/>
          <cell r="GU26"/>
          <cell r="GV26"/>
          <cell r="GY26"/>
          <cell r="GZ26"/>
          <cell r="HC26"/>
          <cell r="HD26"/>
          <cell r="HG26"/>
          <cell r="HH26"/>
          <cell r="HK26"/>
          <cell r="HL26"/>
          <cell r="HO26"/>
          <cell r="HP26"/>
          <cell r="HS26"/>
          <cell r="HT26"/>
          <cell r="HW26"/>
          <cell r="HX26"/>
          <cell r="IA26"/>
          <cell r="IB26"/>
          <cell r="IE26"/>
          <cell r="IF26"/>
          <cell r="II26"/>
          <cell r="IJ26"/>
          <cell r="IM26"/>
          <cell r="IN26"/>
          <cell r="IQ26"/>
          <cell r="IR26"/>
          <cell r="IU26"/>
          <cell r="IV26"/>
          <cell r="IY26"/>
          <cell r="IZ26"/>
          <cell r="JC26"/>
          <cell r="JD26"/>
          <cell r="JG26"/>
          <cell r="JH26"/>
          <cell r="JK26"/>
          <cell r="JL26"/>
          <cell r="JO26"/>
          <cell r="JP26"/>
          <cell r="JS26"/>
          <cell r="JT26"/>
          <cell r="JW26"/>
          <cell r="JX26"/>
          <cell r="KA26"/>
          <cell r="KB26"/>
          <cell r="KE26"/>
          <cell r="KF26"/>
          <cell r="KI26"/>
          <cell r="KJ26"/>
          <cell r="KM26"/>
          <cell r="KN26"/>
          <cell r="KQ26"/>
          <cell r="KR26"/>
          <cell r="KU26"/>
          <cell r="KV26"/>
          <cell r="KY26"/>
          <cell r="KZ26"/>
          <cell r="LC26"/>
          <cell r="LD26"/>
          <cell r="LG26"/>
          <cell r="LH26"/>
          <cell r="LK26"/>
          <cell r="LL26"/>
          <cell r="LO26"/>
          <cell r="LP26"/>
          <cell r="LS26"/>
          <cell r="LT26"/>
          <cell r="LW26"/>
          <cell r="LX26"/>
          <cell r="MA26"/>
          <cell r="MB26"/>
          <cell r="ME26"/>
          <cell r="MF26"/>
          <cell r="MI26"/>
          <cell r="MJ26"/>
          <cell r="MM26"/>
          <cell r="MN26"/>
          <cell r="MQ26"/>
          <cell r="MR26"/>
          <cell r="MU26"/>
          <cell r="MV26"/>
          <cell r="MY26"/>
          <cell r="MZ26"/>
          <cell r="NC26"/>
          <cell r="ND26"/>
          <cell r="NG26"/>
          <cell r="NH26"/>
          <cell r="NK26"/>
          <cell r="NL26"/>
          <cell r="NO26"/>
          <cell r="NP26"/>
          <cell r="NS26"/>
          <cell r="NT26"/>
          <cell r="NW26"/>
          <cell r="NX26"/>
          <cell r="OA26"/>
          <cell r="OB26"/>
          <cell r="OE26"/>
          <cell r="OF26"/>
          <cell r="OI26"/>
          <cell r="OJ26"/>
          <cell r="OM26"/>
          <cell r="ON26"/>
          <cell r="OQ26"/>
          <cell r="OR26"/>
          <cell r="OU26"/>
          <cell r="OV26"/>
          <cell r="OY26"/>
          <cell r="OZ26"/>
          <cell r="PC26"/>
          <cell r="PD26"/>
          <cell r="PG26"/>
          <cell r="PH26"/>
          <cell r="PK26"/>
          <cell r="PL26"/>
          <cell r="PO26"/>
          <cell r="PP26"/>
          <cell r="PS26"/>
          <cell r="PT26"/>
          <cell r="PW26"/>
          <cell r="PX26"/>
          <cell r="QA26"/>
          <cell r="QB26"/>
          <cell r="QE26"/>
          <cell r="QF26"/>
          <cell r="QI26"/>
          <cell r="QJ26"/>
          <cell r="QR26"/>
          <cell r="QS26"/>
          <cell r="QV26"/>
          <cell r="QW26"/>
          <cell r="QZ26"/>
          <cell r="RA26"/>
          <cell r="RD26"/>
          <cell r="RE26"/>
          <cell r="RH26"/>
          <cell r="RI26"/>
          <cell r="RL26"/>
          <cell r="RM26"/>
          <cell r="RP26"/>
          <cell r="RQ26"/>
          <cell r="RT26"/>
          <cell r="RU26"/>
          <cell r="RX26"/>
          <cell r="RY26"/>
          <cell r="SB26"/>
          <cell r="SC26"/>
          <cell r="SF26"/>
          <cell r="SG26"/>
          <cell r="SJ26"/>
          <cell r="SK26"/>
          <cell r="SN26"/>
          <cell r="SO26"/>
          <cell r="SR26"/>
          <cell r="SS26"/>
          <cell r="SV26"/>
          <cell r="SW26"/>
          <cell r="SZ26"/>
          <cell r="TA26"/>
          <cell r="TD26"/>
          <cell r="TE26"/>
          <cell r="TH26"/>
          <cell r="TI26"/>
          <cell r="TL26"/>
          <cell r="TM26"/>
          <cell r="TP26"/>
          <cell r="TQ26"/>
          <cell r="TT26"/>
          <cell r="TU26"/>
          <cell r="TX26"/>
          <cell r="TY26"/>
          <cell r="UB26"/>
          <cell r="UC26"/>
          <cell r="UF26"/>
          <cell r="UG26"/>
          <cell r="UJ26"/>
          <cell r="UK26"/>
          <cell r="UN26"/>
          <cell r="UO26"/>
          <cell r="UR26"/>
          <cell r="US26"/>
          <cell r="UV26"/>
          <cell r="UW26"/>
          <cell r="UZ26"/>
          <cell r="VA26"/>
          <cell r="VD26"/>
          <cell r="VE26"/>
          <cell r="VH26"/>
          <cell r="VI26"/>
          <cell r="VL26"/>
          <cell r="VM26"/>
          <cell r="VP26"/>
          <cell r="VQ26"/>
          <cell r="VT26"/>
          <cell r="VU26"/>
        </row>
        <row r="27">
          <cell r="A27"/>
          <cell r="I27"/>
          <cell r="J27"/>
          <cell r="GA27"/>
          <cell r="GB27"/>
          <cell r="GE27"/>
          <cell r="GF27"/>
          <cell r="GI27"/>
          <cell r="GJ27"/>
          <cell r="GM27"/>
          <cell r="GN27"/>
          <cell r="GQ27"/>
          <cell r="GR27"/>
          <cell r="GU27"/>
          <cell r="GV27"/>
          <cell r="GY27"/>
          <cell r="GZ27"/>
          <cell r="HC27"/>
          <cell r="HD27"/>
          <cell r="HG27"/>
          <cell r="HH27"/>
          <cell r="HK27"/>
          <cell r="HL27"/>
          <cell r="HO27"/>
          <cell r="HP27"/>
          <cell r="HS27"/>
          <cell r="HT27"/>
          <cell r="HW27"/>
          <cell r="HX27"/>
          <cell r="IA27"/>
          <cell r="IB27"/>
          <cell r="IE27"/>
          <cell r="IF27"/>
          <cell r="II27"/>
          <cell r="IJ27"/>
          <cell r="IM27"/>
          <cell r="IN27"/>
          <cell r="IQ27"/>
          <cell r="IR27"/>
          <cell r="IU27"/>
          <cell r="IV27"/>
          <cell r="IY27"/>
          <cell r="IZ27"/>
          <cell r="JC27"/>
          <cell r="JD27"/>
          <cell r="JG27"/>
          <cell r="JH27"/>
          <cell r="JK27"/>
          <cell r="JL27"/>
          <cell r="JO27"/>
          <cell r="JP27"/>
          <cell r="JS27"/>
          <cell r="JT27"/>
          <cell r="JW27"/>
          <cell r="JX27"/>
          <cell r="KA27"/>
          <cell r="KB27"/>
          <cell r="KE27"/>
          <cell r="KF27"/>
          <cell r="KI27"/>
          <cell r="KJ27"/>
          <cell r="KM27"/>
          <cell r="KN27"/>
          <cell r="KQ27"/>
          <cell r="KR27"/>
          <cell r="KU27"/>
          <cell r="KV27"/>
          <cell r="KY27"/>
          <cell r="KZ27"/>
          <cell r="LC27"/>
          <cell r="LD27"/>
          <cell r="LG27"/>
          <cell r="LH27"/>
          <cell r="LK27"/>
          <cell r="LL27"/>
          <cell r="LO27"/>
          <cell r="LP27"/>
          <cell r="LS27"/>
          <cell r="LT27"/>
          <cell r="LW27"/>
          <cell r="LX27"/>
          <cell r="MA27"/>
          <cell r="MB27"/>
          <cell r="ME27"/>
          <cell r="MF27"/>
          <cell r="MI27"/>
          <cell r="MJ27"/>
          <cell r="MM27"/>
          <cell r="MN27"/>
          <cell r="MQ27"/>
          <cell r="MR27"/>
          <cell r="MU27"/>
          <cell r="MV27"/>
          <cell r="MY27"/>
          <cell r="MZ27"/>
          <cell r="NC27"/>
          <cell r="ND27"/>
          <cell r="NG27"/>
          <cell r="NH27"/>
          <cell r="NK27"/>
          <cell r="NL27"/>
          <cell r="NO27"/>
          <cell r="NP27"/>
          <cell r="NS27"/>
          <cell r="NT27"/>
          <cell r="NW27"/>
          <cell r="NX27"/>
          <cell r="OA27"/>
          <cell r="OB27"/>
          <cell r="OE27"/>
          <cell r="OF27"/>
          <cell r="OI27"/>
          <cell r="OJ27"/>
          <cell r="OM27"/>
          <cell r="ON27"/>
          <cell r="OQ27"/>
          <cell r="OR27"/>
          <cell r="OU27"/>
          <cell r="OV27"/>
          <cell r="OY27"/>
          <cell r="OZ27"/>
          <cell r="PC27"/>
          <cell r="PD27"/>
          <cell r="PG27"/>
          <cell r="PH27"/>
          <cell r="PK27"/>
          <cell r="PL27"/>
          <cell r="PO27"/>
          <cell r="PP27"/>
          <cell r="PS27"/>
          <cell r="PT27"/>
          <cell r="PW27"/>
          <cell r="PX27"/>
          <cell r="QA27"/>
          <cell r="QB27"/>
          <cell r="QE27"/>
          <cell r="QF27"/>
          <cell r="QI27"/>
          <cell r="QJ27"/>
          <cell r="QR27"/>
          <cell r="QS27"/>
          <cell r="QV27"/>
          <cell r="QW27"/>
          <cell r="QZ27"/>
          <cell r="RA27"/>
          <cell r="RD27"/>
          <cell r="RE27"/>
          <cell r="RH27"/>
          <cell r="RI27"/>
          <cell r="RL27"/>
          <cell r="RM27"/>
          <cell r="RP27"/>
          <cell r="RQ27"/>
          <cell r="RT27"/>
          <cell r="RU27"/>
          <cell r="RX27"/>
          <cell r="RY27"/>
          <cell r="SB27"/>
          <cell r="SC27"/>
          <cell r="SF27"/>
          <cell r="SG27"/>
          <cell r="SJ27"/>
          <cell r="SK27"/>
          <cell r="SN27"/>
          <cell r="SO27"/>
          <cell r="SR27"/>
          <cell r="SS27"/>
          <cell r="SV27"/>
          <cell r="SW27"/>
          <cell r="SZ27"/>
          <cell r="TA27"/>
          <cell r="TD27"/>
          <cell r="TE27"/>
          <cell r="TH27"/>
          <cell r="TI27"/>
          <cell r="TL27"/>
          <cell r="TM27"/>
          <cell r="TP27"/>
          <cell r="TQ27"/>
          <cell r="TT27"/>
          <cell r="TU27"/>
          <cell r="TX27"/>
          <cell r="TY27"/>
          <cell r="UB27"/>
          <cell r="UC27"/>
          <cell r="UF27"/>
          <cell r="UG27"/>
          <cell r="UJ27"/>
          <cell r="UK27"/>
          <cell r="UN27"/>
          <cell r="UO27"/>
          <cell r="UR27"/>
          <cell r="US27"/>
          <cell r="UV27"/>
          <cell r="UW27"/>
          <cell r="UZ27"/>
          <cell r="VA27"/>
          <cell r="VD27"/>
          <cell r="VE27"/>
          <cell r="VH27"/>
          <cell r="VI27"/>
          <cell r="VL27"/>
          <cell r="VM27"/>
          <cell r="VP27"/>
          <cell r="VQ27"/>
          <cell r="VT27"/>
          <cell r="VU27"/>
        </row>
        <row r="28">
          <cell r="A28"/>
          <cell r="I28"/>
          <cell r="J28"/>
          <cell r="GA28"/>
          <cell r="GB28"/>
          <cell r="GE28"/>
          <cell r="GF28"/>
          <cell r="GI28"/>
          <cell r="GJ28"/>
          <cell r="GM28"/>
          <cell r="GN28"/>
          <cell r="GQ28"/>
          <cell r="GR28"/>
          <cell r="GU28"/>
          <cell r="GV28"/>
          <cell r="GY28"/>
          <cell r="GZ28"/>
          <cell r="HC28"/>
          <cell r="HD28"/>
          <cell r="HG28"/>
          <cell r="HH28"/>
          <cell r="HK28"/>
          <cell r="HL28"/>
          <cell r="HO28"/>
          <cell r="HP28"/>
          <cell r="HS28"/>
          <cell r="HT28"/>
          <cell r="HW28"/>
          <cell r="HX28"/>
          <cell r="IA28"/>
          <cell r="IB28"/>
          <cell r="IE28"/>
          <cell r="IF28"/>
          <cell r="II28"/>
          <cell r="IJ28"/>
          <cell r="IM28"/>
          <cell r="IN28"/>
          <cell r="IQ28"/>
          <cell r="IR28"/>
          <cell r="IU28"/>
          <cell r="IV28"/>
          <cell r="IY28"/>
          <cell r="IZ28"/>
          <cell r="JC28"/>
          <cell r="JD28"/>
          <cell r="JG28"/>
          <cell r="JH28"/>
          <cell r="JK28"/>
          <cell r="JL28"/>
          <cell r="JO28"/>
          <cell r="JP28"/>
          <cell r="JS28"/>
          <cell r="JT28"/>
          <cell r="JW28"/>
          <cell r="JX28"/>
          <cell r="KA28"/>
          <cell r="KB28"/>
          <cell r="KE28"/>
          <cell r="KF28"/>
          <cell r="KI28"/>
          <cell r="KJ28"/>
          <cell r="KM28"/>
          <cell r="KN28"/>
          <cell r="KQ28"/>
          <cell r="KR28"/>
          <cell r="KU28"/>
          <cell r="KV28"/>
          <cell r="KY28"/>
          <cell r="KZ28"/>
          <cell r="LC28"/>
          <cell r="LD28"/>
          <cell r="LG28"/>
          <cell r="LH28"/>
          <cell r="LK28"/>
          <cell r="LL28"/>
          <cell r="LO28"/>
          <cell r="LP28"/>
          <cell r="LS28"/>
          <cell r="LT28"/>
          <cell r="LW28"/>
          <cell r="LX28"/>
          <cell r="MA28"/>
          <cell r="MB28"/>
          <cell r="ME28"/>
          <cell r="MF28"/>
          <cell r="MI28"/>
          <cell r="MJ28"/>
          <cell r="MM28"/>
          <cell r="MN28"/>
          <cell r="MQ28"/>
          <cell r="MR28"/>
          <cell r="MU28"/>
          <cell r="MV28"/>
          <cell r="MY28"/>
          <cell r="MZ28"/>
          <cell r="NC28"/>
          <cell r="ND28"/>
          <cell r="NG28"/>
          <cell r="NH28"/>
          <cell r="NK28"/>
          <cell r="NL28"/>
          <cell r="NO28"/>
          <cell r="NP28"/>
          <cell r="NS28"/>
          <cell r="NT28"/>
          <cell r="NW28"/>
          <cell r="NX28"/>
          <cell r="OA28"/>
          <cell r="OB28"/>
          <cell r="OE28"/>
          <cell r="OF28"/>
          <cell r="OI28"/>
          <cell r="OJ28"/>
          <cell r="OM28"/>
          <cell r="ON28"/>
          <cell r="OQ28"/>
          <cell r="OR28"/>
          <cell r="OU28"/>
          <cell r="OV28"/>
          <cell r="OY28"/>
          <cell r="OZ28"/>
          <cell r="PC28"/>
          <cell r="PD28"/>
          <cell r="PG28"/>
          <cell r="PH28"/>
          <cell r="PK28"/>
          <cell r="PL28"/>
          <cell r="PO28"/>
          <cell r="PP28"/>
          <cell r="PS28"/>
          <cell r="PT28"/>
          <cell r="PW28"/>
          <cell r="PX28"/>
          <cell r="QA28"/>
          <cell r="QB28"/>
          <cell r="QE28"/>
          <cell r="QF28"/>
          <cell r="QI28"/>
          <cell r="QJ28"/>
          <cell r="QR28"/>
          <cell r="QS28"/>
          <cell r="QV28"/>
          <cell r="QW28"/>
          <cell r="QZ28"/>
          <cell r="RA28"/>
          <cell r="RD28"/>
          <cell r="RE28"/>
          <cell r="RH28"/>
          <cell r="RI28"/>
          <cell r="RL28"/>
          <cell r="RM28"/>
          <cell r="RP28"/>
          <cell r="RQ28"/>
          <cell r="RT28"/>
          <cell r="RU28"/>
          <cell r="RX28"/>
          <cell r="RY28"/>
          <cell r="SB28"/>
          <cell r="SC28"/>
          <cell r="SF28"/>
          <cell r="SG28"/>
          <cell r="SJ28"/>
          <cell r="SK28"/>
          <cell r="SN28"/>
          <cell r="SO28"/>
          <cell r="SR28"/>
          <cell r="SS28"/>
          <cell r="SV28"/>
          <cell r="SW28"/>
          <cell r="SZ28"/>
          <cell r="TA28"/>
          <cell r="TD28"/>
          <cell r="TE28"/>
          <cell r="TH28"/>
          <cell r="TI28"/>
          <cell r="TL28"/>
          <cell r="TM28"/>
          <cell r="TP28"/>
          <cell r="TQ28"/>
          <cell r="TT28"/>
          <cell r="TU28"/>
          <cell r="TX28"/>
          <cell r="TY28"/>
          <cell r="UB28"/>
          <cell r="UC28"/>
          <cell r="UF28"/>
          <cell r="UG28"/>
          <cell r="UJ28"/>
          <cell r="UK28"/>
          <cell r="UN28"/>
          <cell r="UO28"/>
          <cell r="UR28"/>
          <cell r="US28"/>
          <cell r="UV28"/>
          <cell r="UW28"/>
          <cell r="UZ28"/>
          <cell r="VA28"/>
          <cell r="VD28"/>
          <cell r="VE28"/>
          <cell r="VH28"/>
          <cell r="VI28"/>
          <cell r="VL28"/>
          <cell r="VM28"/>
          <cell r="VP28"/>
          <cell r="VQ28"/>
          <cell r="VT28"/>
          <cell r="VU28"/>
        </row>
        <row r="29">
          <cell r="A29"/>
          <cell r="I29"/>
          <cell r="J29"/>
          <cell r="GA29"/>
          <cell r="GB29"/>
          <cell r="GE29"/>
          <cell r="GF29"/>
          <cell r="GI29"/>
          <cell r="GJ29"/>
          <cell r="GM29"/>
          <cell r="GN29"/>
          <cell r="GQ29"/>
          <cell r="GR29"/>
          <cell r="GU29"/>
          <cell r="GV29"/>
          <cell r="GY29"/>
          <cell r="GZ29"/>
          <cell r="HC29"/>
          <cell r="HD29"/>
          <cell r="HG29"/>
          <cell r="HH29"/>
          <cell r="HK29"/>
          <cell r="HL29"/>
          <cell r="HO29"/>
          <cell r="HP29"/>
          <cell r="HS29"/>
          <cell r="HT29"/>
          <cell r="HW29"/>
          <cell r="HX29"/>
          <cell r="IA29"/>
          <cell r="IB29"/>
          <cell r="IE29"/>
          <cell r="IF29"/>
          <cell r="II29"/>
          <cell r="IJ29"/>
          <cell r="IM29"/>
          <cell r="IN29"/>
          <cell r="IQ29"/>
          <cell r="IR29"/>
          <cell r="IU29"/>
          <cell r="IV29"/>
          <cell r="IY29"/>
          <cell r="IZ29"/>
          <cell r="JC29"/>
          <cell r="JD29"/>
          <cell r="JG29"/>
          <cell r="JH29"/>
          <cell r="JK29"/>
          <cell r="JL29"/>
          <cell r="JO29"/>
          <cell r="JP29"/>
          <cell r="JS29"/>
          <cell r="JT29"/>
          <cell r="JW29"/>
          <cell r="JX29"/>
          <cell r="KA29"/>
          <cell r="KB29"/>
          <cell r="KE29"/>
          <cell r="KF29"/>
          <cell r="KI29"/>
          <cell r="KJ29"/>
          <cell r="KM29"/>
          <cell r="KN29"/>
          <cell r="KQ29"/>
          <cell r="KR29"/>
          <cell r="KU29"/>
          <cell r="KV29"/>
          <cell r="KY29"/>
          <cell r="KZ29"/>
          <cell r="LC29"/>
          <cell r="LD29"/>
          <cell r="LG29"/>
          <cell r="LH29"/>
          <cell r="LK29"/>
          <cell r="LL29"/>
          <cell r="LO29"/>
          <cell r="LP29"/>
          <cell r="LS29"/>
          <cell r="LT29"/>
          <cell r="LW29"/>
          <cell r="LX29"/>
          <cell r="MA29"/>
          <cell r="MB29"/>
          <cell r="ME29"/>
          <cell r="MF29"/>
          <cell r="MI29"/>
          <cell r="MJ29"/>
          <cell r="MM29"/>
          <cell r="MN29"/>
          <cell r="MQ29"/>
          <cell r="MR29"/>
          <cell r="MU29"/>
          <cell r="MV29"/>
          <cell r="MY29"/>
          <cell r="MZ29"/>
          <cell r="NC29"/>
          <cell r="ND29"/>
          <cell r="NG29"/>
          <cell r="NH29"/>
          <cell r="NK29"/>
          <cell r="NL29"/>
          <cell r="NO29"/>
          <cell r="NP29"/>
          <cell r="NS29"/>
          <cell r="NT29"/>
          <cell r="NW29"/>
          <cell r="NX29"/>
          <cell r="OA29"/>
          <cell r="OB29"/>
          <cell r="OE29"/>
          <cell r="OF29"/>
          <cell r="OI29"/>
          <cell r="OJ29"/>
          <cell r="OM29"/>
          <cell r="ON29"/>
          <cell r="OQ29"/>
          <cell r="OR29"/>
          <cell r="OU29"/>
          <cell r="OV29"/>
          <cell r="OY29"/>
          <cell r="OZ29"/>
          <cell r="PC29"/>
          <cell r="PD29"/>
          <cell r="PG29"/>
          <cell r="PH29"/>
          <cell r="PK29"/>
          <cell r="PL29"/>
          <cell r="PO29"/>
          <cell r="PP29"/>
          <cell r="PS29"/>
          <cell r="PT29"/>
          <cell r="PW29"/>
          <cell r="PX29"/>
          <cell r="QA29"/>
          <cell r="QB29"/>
          <cell r="QE29"/>
          <cell r="QF29"/>
          <cell r="QI29"/>
          <cell r="QJ29"/>
          <cell r="QR29"/>
          <cell r="QS29"/>
          <cell r="QV29"/>
          <cell r="QW29"/>
          <cell r="QZ29"/>
          <cell r="RA29"/>
          <cell r="RD29"/>
          <cell r="RE29"/>
          <cell r="RH29"/>
          <cell r="RI29"/>
          <cell r="RL29"/>
          <cell r="RM29"/>
          <cell r="RP29"/>
          <cell r="RQ29"/>
          <cell r="RT29"/>
          <cell r="RU29"/>
          <cell r="RX29"/>
          <cell r="RY29"/>
          <cell r="SB29"/>
          <cell r="SC29"/>
          <cell r="SF29"/>
          <cell r="SG29"/>
          <cell r="SJ29"/>
          <cell r="SK29"/>
          <cell r="SN29"/>
          <cell r="SO29"/>
          <cell r="SR29"/>
          <cell r="SS29"/>
          <cell r="SV29"/>
          <cell r="SW29"/>
          <cell r="SZ29"/>
          <cell r="TA29"/>
          <cell r="TD29"/>
          <cell r="TE29"/>
          <cell r="TH29"/>
          <cell r="TI29"/>
          <cell r="TL29"/>
          <cell r="TM29"/>
          <cell r="TP29"/>
          <cell r="TQ29"/>
          <cell r="TT29"/>
          <cell r="TU29"/>
          <cell r="TX29"/>
          <cell r="TY29"/>
          <cell r="UB29"/>
          <cell r="UC29"/>
          <cell r="UF29"/>
          <cell r="UG29"/>
          <cell r="UJ29"/>
          <cell r="UK29"/>
          <cell r="UN29"/>
          <cell r="UO29"/>
          <cell r="UR29"/>
          <cell r="US29"/>
          <cell r="UV29"/>
          <cell r="UW29"/>
          <cell r="UZ29"/>
          <cell r="VA29"/>
          <cell r="VD29"/>
          <cell r="VE29"/>
          <cell r="VH29"/>
          <cell r="VI29"/>
          <cell r="VL29"/>
          <cell r="VM29"/>
          <cell r="VP29"/>
          <cell r="VQ29"/>
          <cell r="VT29"/>
          <cell r="VU29"/>
        </row>
        <row r="30">
          <cell r="A30"/>
          <cell r="I30"/>
          <cell r="J30"/>
          <cell r="GA30"/>
          <cell r="GB30"/>
          <cell r="GE30"/>
          <cell r="GF30"/>
          <cell r="GI30"/>
          <cell r="GJ30"/>
          <cell r="GM30"/>
          <cell r="GN30"/>
          <cell r="GQ30"/>
          <cell r="GR30"/>
          <cell r="GU30"/>
          <cell r="GV30"/>
          <cell r="GY30"/>
          <cell r="GZ30"/>
          <cell r="HC30"/>
          <cell r="HD30"/>
          <cell r="HG30"/>
          <cell r="HH30"/>
          <cell r="HK30"/>
          <cell r="HL30"/>
          <cell r="HO30"/>
          <cell r="HP30"/>
          <cell r="HS30"/>
          <cell r="HT30"/>
          <cell r="HW30"/>
          <cell r="HX30"/>
          <cell r="IA30"/>
          <cell r="IB30"/>
          <cell r="IE30"/>
          <cell r="IF30"/>
          <cell r="II30"/>
          <cell r="IJ30"/>
          <cell r="IM30"/>
          <cell r="IN30"/>
          <cell r="IQ30"/>
          <cell r="IR30"/>
          <cell r="IU30"/>
          <cell r="IV30"/>
          <cell r="IY30"/>
          <cell r="IZ30"/>
          <cell r="JC30"/>
          <cell r="JD30"/>
          <cell r="JG30"/>
          <cell r="JH30"/>
          <cell r="JK30"/>
          <cell r="JL30"/>
          <cell r="JO30"/>
          <cell r="JP30"/>
          <cell r="JS30"/>
          <cell r="JT30"/>
          <cell r="JW30"/>
          <cell r="JX30"/>
          <cell r="KA30"/>
          <cell r="KB30"/>
          <cell r="KE30"/>
          <cell r="KF30"/>
          <cell r="KI30"/>
          <cell r="KJ30"/>
          <cell r="KM30"/>
          <cell r="KN30"/>
          <cell r="KQ30"/>
          <cell r="KR30"/>
          <cell r="KU30"/>
          <cell r="KV30"/>
          <cell r="KY30"/>
          <cell r="KZ30"/>
          <cell r="LC30"/>
          <cell r="LD30"/>
          <cell r="LG30"/>
          <cell r="LH30"/>
          <cell r="LK30"/>
          <cell r="LL30"/>
          <cell r="LO30"/>
          <cell r="LP30"/>
          <cell r="LS30"/>
          <cell r="LT30"/>
          <cell r="LW30"/>
          <cell r="LX30"/>
          <cell r="MA30"/>
          <cell r="MB30"/>
          <cell r="ME30"/>
          <cell r="MF30"/>
          <cell r="MI30"/>
          <cell r="MJ30"/>
          <cell r="MM30"/>
          <cell r="MN30"/>
          <cell r="MQ30"/>
          <cell r="MR30"/>
          <cell r="MU30"/>
          <cell r="MV30"/>
          <cell r="MY30"/>
          <cell r="MZ30"/>
          <cell r="NC30"/>
          <cell r="ND30"/>
          <cell r="NG30"/>
          <cell r="NH30"/>
          <cell r="NK30"/>
          <cell r="NL30"/>
          <cell r="NO30"/>
          <cell r="NP30"/>
          <cell r="NS30"/>
          <cell r="NT30"/>
          <cell r="NW30"/>
          <cell r="NX30"/>
          <cell r="OA30"/>
          <cell r="OB30"/>
          <cell r="OE30"/>
          <cell r="OF30"/>
          <cell r="OI30"/>
          <cell r="OJ30"/>
          <cell r="OM30"/>
          <cell r="ON30"/>
          <cell r="OQ30"/>
          <cell r="OR30"/>
          <cell r="OU30"/>
          <cell r="OV30"/>
          <cell r="OY30"/>
          <cell r="OZ30"/>
          <cell r="PC30"/>
          <cell r="PD30"/>
          <cell r="PG30"/>
          <cell r="PH30"/>
          <cell r="PK30"/>
          <cell r="PL30"/>
          <cell r="PO30"/>
          <cell r="PP30"/>
          <cell r="PS30"/>
          <cell r="PT30"/>
          <cell r="PW30"/>
          <cell r="PX30"/>
          <cell r="QA30"/>
          <cell r="QB30"/>
          <cell r="QE30"/>
          <cell r="QF30"/>
          <cell r="QI30"/>
          <cell r="QJ30"/>
          <cell r="QR30"/>
          <cell r="QS30"/>
          <cell r="QV30"/>
          <cell r="QW30"/>
          <cell r="QZ30"/>
          <cell r="RA30"/>
          <cell r="RD30"/>
          <cell r="RE30"/>
          <cell r="RH30"/>
          <cell r="RI30"/>
          <cell r="RL30"/>
          <cell r="RM30"/>
          <cell r="RP30"/>
          <cell r="RQ30"/>
          <cell r="RT30"/>
          <cell r="RU30"/>
          <cell r="RX30"/>
          <cell r="RY30"/>
          <cell r="SB30"/>
          <cell r="SC30"/>
          <cell r="SF30"/>
          <cell r="SG30"/>
          <cell r="SJ30"/>
          <cell r="SK30"/>
          <cell r="SN30"/>
          <cell r="SO30"/>
          <cell r="SR30"/>
          <cell r="SS30"/>
          <cell r="SV30"/>
          <cell r="SW30"/>
          <cell r="SZ30"/>
          <cell r="TA30"/>
          <cell r="TD30"/>
          <cell r="TE30"/>
          <cell r="TH30"/>
          <cell r="TI30"/>
          <cell r="TL30"/>
          <cell r="TM30"/>
          <cell r="TP30"/>
          <cell r="TQ30"/>
          <cell r="TT30"/>
          <cell r="TU30"/>
          <cell r="TX30"/>
          <cell r="TY30"/>
          <cell r="UB30"/>
          <cell r="UC30"/>
          <cell r="UF30"/>
          <cell r="UG30"/>
          <cell r="UJ30"/>
          <cell r="UK30"/>
          <cell r="UN30"/>
          <cell r="UO30"/>
          <cell r="UR30"/>
          <cell r="US30"/>
          <cell r="UV30"/>
          <cell r="UW30"/>
          <cell r="UZ30"/>
          <cell r="VA30"/>
          <cell r="VD30"/>
          <cell r="VE30"/>
          <cell r="VH30"/>
          <cell r="VI30"/>
          <cell r="VL30"/>
          <cell r="VM30"/>
          <cell r="VP30"/>
          <cell r="VQ30"/>
          <cell r="VT30"/>
          <cell r="VU30"/>
        </row>
        <row r="31">
          <cell r="A31"/>
          <cell r="I31"/>
          <cell r="J31"/>
          <cell r="GA31"/>
          <cell r="GB31"/>
          <cell r="GE31"/>
          <cell r="GF31"/>
          <cell r="GI31"/>
          <cell r="GJ31"/>
          <cell r="GM31"/>
          <cell r="GN31"/>
          <cell r="GQ31"/>
          <cell r="GR31"/>
          <cell r="GU31"/>
          <cell r="GV31"/>
          <cell r="GY31"/>
          <cell r="GZ31"/>
          <cell r="HC31"/>
          <cell r="HD31"/>
          <cell r="HG31"/>
          <cell r="HH31"/>
          <cell r="HK31"/>
          <cell r="HL31"/>
          <cell r="HO31"/>
          <cell r="HP31"/>
          <cell r="HS31"/>
          <cell r="HT31"/>
          <cell r="HW31"/>
          <cell r="HX31"/>
          <cell r="IA31"/>
          <cell r="IB31"/>
          <cell r="IE31"/>
          <cell r="IF31"/>
          <cell r="II31"/>
          <cell r="IJ31"/>
          <cell r="IM31"/>
          <cell r="IN31"/>
          <cell r="IQ31"/>
          <cell r="IR31"/>
          <cell r="IU31"/>
          <cell r="IV31"/>
          <cell r="IY31"/>
          <cell r="IZ31"/>
          <cell r="JC31"/>
          <cell r="JD31"/>
          <cell r="JG31"/>
          <cell r="JH31"/>
          <cell r="JK31"/>
          <cell r="JL31"/>
          <cell r="JO31"/>
          <cell r="JP31"/>
          <cell r="JS31"/>
          <cell r="JT31"/>
          <cell r="JW31"/>
          <cell r="JX31"/>
          <cell r="KA31"/>
          <cell r="KB31"/>
          <cell r="KE31"/>
          <cell r="KF31"/>
          <cell r="KI31"/>
          <cell r="KJ31"/>
          <cell r="KM31"/>
          <cell r="KN31"/>
          <cell r="KQ31"/>
          <cell r="KR31"/>
          <cell r="KU31"/>
          <cell r="KV31"/>
          <cell r="KY31"/>
          <cell r="KZ31"/>
          <cell r="LC31"/>
          <cell r="LD31"/>
          <cell r="LG31"/>
          <cell r="LH31"/>
          <cell r="LK31"/>
          <cell r="LL31"/>
          <cell r="LO31"/>
          <cell r="LP31"/>
          <cell r="LS31"/>
          <cell r="LT31"/>
          <cell r="LW31"/>
          <cell r="LX31"/>
          <cell r="MA31"/>
          <cell r="MB31"/>
          <cell r="ME31"/>
          <cell r="MF31"/>
          <cell r="MI31"/>
          <cell r="MJ31"/>
          <cell r="MM31"/>
          <cell r="MN31"/>
          <cell r="MQ31"/>
          <cell r="MR31"/>
          <cell r="MU31"/>
          <cell r="MV31"/>
          <cell r="MY31"/>
          <cell r="MZ31"/>
          <cell r="NC31"/>
          <cell r="ND31"/>
          <cell r="NG31"/>
          <cell r="NH31"/>
          <cell r="NK31"/>
          <cell r="NL31"/>
          <cell r="NO31"/>
          <cell r="NP31"/>
          <cell r="NS31"/>
          <cell r="NT31"/>
          <cell r="NW31"/>
          <cell r="NX31"/>
          <cell r="OA31"/>
          <cell r="OB31"/>
          <cell r="OE31"/>
          <cell r="OF31"/>
          <cell r="OI31"/>
          <cell r="OJ31"/>
          <cell r="OM31"/>
          <cell r="ON31"/>
          <cell r="OQ31"/>
          <cell r="OR31"/>
          <cell r="OU31"/>
          <cell r="OV31"/>
          <cell r="OY31"/>
          <cell r="OZ31"/>
          <cell r="PC31"/>
          <cell r="PD31"/>
          <cell r="PG31"/>
          <cell r="PH31"/>
          <cell r="PK31"/>
          <cell r="PL31"/>
          <cell r="PO31"/>
          <cell r="PP31"/>
          <cell r="PS31"/>
          <cell r="PT31"/>
          <cell r="PW31"/>
          <cell r="PX31"/>
          <cell r="QA31"/>
          <cell r="QB31"/>
          <cell r="QE31"/>
          <cell r="QF31"/>
          <cell r="QI31"/>
          <cell r="QJ31"/>
          <cell r="QR31"/>
          <cell r="QS31"/>
          <cell r="QV31"/>
          <cell r="QW31"/>
          <cell r="QZ31"/>
          <cell r="RA31"/>
          <cell r="RD31"/>
          <cell r="RE31"/>
          <cell r="RH31"/>
          <cell r="RI31"/>
          <cell r="RL31"/>
          <cell r="RM31"/>
          <cell r="RP31"/>
          <cell r="RQ31"/>
          <cell r="RT31"/>
          <cell r="RU31"/>
          <cell r="RX31"/>
          <cell r="RY31"/>
          <cell r="SB31"/>
          <cell r="SC31"/>
          <cell r="SF31"/>
          <cell r="SG31"/>
          <cell r="SJ31"/>
          <cell r="SK31"/>
          <cell r="SN31"/>
          <cell r="SO31"/>
          <cell r="SR31"/>
          <cell r="SS31"/>
          <cell r="SV31"/>
          <cell r="SW31"/>
          <cell r="SZ31"/>
          <cell r="TA31"/>
          <cell r="TD31"/>
          <cell r="TE31"/>
          <cell r="TH31"/>
          <cell r="TI31"/>
          <cell r="TL31"/>
          <cell r="TM31"/>
          <cell r="TP31"/>
          <cell r="TQ31"/>
          <cell r="TT31"/>
          <cell r="TU31"/>
          <cell r="TX31"/>
          <cell r="TY31"/>
          <cell r="UB31"/>
          <cell r="UC31"/>
          <cell r="UF31"/>
          <cell r="UG31"/>
          <cell r="UJ31"/>
          <cell r="UK31"/>
          <cell r="UN31"/>
          <cell r="UO31"/>
          <cell r="UR31"/>
          <cell r="US31"/>
          <cell r="UV31"/>
          <cell r="UW31"/>
          <cell r="UZ31"/>
          <cell r="VA31"/>
          <cell r="VD31"/>
          <cell r="VE31"/>
          <cell r="VH31"/>
          <cell r="VI31"/>
          <cell r="VL31"/>
          <cell r="VM31"/>
          <cell r="VP31"/>
          <cell r="VQ31"/>
          <cell r="VT31"/>
          <cell r="VU31"/>
        </row>
        <row r="32">
          <cell r="A32"/>
          <cell r="I32"/>
          <cell r="J32"/>
          <cell r="GA32"/>
          <cell r="GB32"/>
          <cell r="GE32"/>
          <cell r="GF32"/>
          <cell r="GI32"/>
          <cell r="GJ32"/>
          <cell r="GM32"/>
          <cell r="GN32"/>
          <cell r="GQ32"/>
          <cell r="GR32"/>
          <cell r="GU32"/>
          <cell r="GV32"/>
          <cell r="GY32"/>
          <cell r="GZ32"/>
          <cell r="HC32"/>
          <cell r="HD32"/>
          <cell r="HG32"/>
          <cell r="HH32"/>
          <cell r="HK32"/>
          <cell r="HL32"/>
          <cell r="HO32"/>
          <cell r="HP32"/>
          <cell r="HS32"/>
          <cell r="HT32"/>
          <cell r="HW32"/>
          <cell r="HX32"/>
          <cell r="IA32"/>
          <cell r="IB32"/>
          <cell r="IE32"/>
          <cell r="IF32"/>
          <cell r="II32"/>
          <cell r="IJ32"/>
          <cell r="IM32"/>
          <cell r="IN32"/>
          <cell r="IQ32"/>
          <cell r="IR32"/>
          <cell r="IU32"/>
          <cell r="IV32"/>
          <cell r="IY32"/>
          <cell r="IZ32"/>
          <cell r="JC32"/>
          <cell r="JD32"/>
          <cell r="JG32"/>
          <cell r="JH32"/>
          <cell r="JK32"/>
          <cell r="JL32"/>
          <cell r="JO32"/>
          <cell r="JP32"/>
          <cell r="JS32"/>
          <cell r="JT32"/>
          <cell r="JW32"/>
          <cell r="JX32"/>
          <cell r="KA32"/>
          <cell r="KB32"/>
          <cell r="KE32"/>
          <cell r="KF32"/>
          <cell r="KI32"/>
          <cell r="KJ32"/>
          <cell r="KM32"/>
          <cell r="KN32"/>
          <cell r="KQ32"/>
          <cell r="KR32"/>
          <cell r="KU32"/>
          <cell r="KV32"/>
          <cell r="KY32"/>
          <cell r="KZ32"/>
          <cell r="LC32"/>
          <cell r="LD32"/>
          <cell r="LG32"/>
          <cell r="LH32"/>
          <cell r="LK32"/>
          <cell r="LL32"/>
          <cell r="LO32"/>
          <cell r="LP32"/>
          <cell r="LS32"/>
          <cell r="LT32"/>
          <cell r="LW32"/>
          <cell r="LX32"/>
          <cell r="MA32"/>
          <cell r="MB32"/>
          <cell r="ME32"/>
          <cell r="MF32"/>
          <cell r="MI32"/>
          <cell r="MJ32"/>
          <cell r="MM32"/>
          <cell r="MN32"/>
          <cell r="MQ32"/>
          <cell r="MR32"/>
          <cell r="MU32"/>
          <cell r="MV32"/>
          <cell r="MY32"/>
          <cell r="MZ32"/>
          <cell r="NC32"/>
          <cell r="ND32"/>
          <cell r="NG32"/>
          <cell r="NH32"/>
          <cell r="NK32"/>
          <cell r="NL32"/>
          <cell r="NO32"/>
          <cell r="NP32"/>
          <cell r="NS32"/>
          <cell r="NT32"/>
          <cell r="NW32"/>
          <cell r="NX32"/>
          <cell r="OA32"/>
          <cell r="OB32"/>
          <cell r="OE32"/>
          <cell r="OF32"/>
          <cell r="OI32"/>
          <cell r="OJ32"/>
          <cell r="OM32"/>
          <cell r="ON32"/>
          <cell r="OQ32"/>
          <cell r="OR32"/>
          <cell r="OU32"/>
          <cell r="OV32"/>
          <cell r="OY32"/>
          <cell r="OZ32"/>
          <cell r="PC32"/>
          <cell r="PD32"/>
          <cell r="PG32"/>
          <cell r="PH32"/>
          <cell r="PK32"/>
          <cell r="PL32"/>
          <cell r="PO32"/>
          <cell r="PP32"/>
          <cell r="PS32"/>
          <cell r="PT32"/>
          <cell r="PW32"/>
          <cell r="PX32"/>
          <cell r="QA32"/>
          <cell r="QB32"/>
          <cell r="QE32"/>
          <cell r="QF32"/>
          <cell r="QI32"/>
          <cell r="QJ32"/>
          <cell r="QR32"/>
          <cell r="QS32"/>
          <cell r="QV32"/>
          <cell r="QW32"/>
          <cell r="QZ32"/>
          <cell r="RA32"/>
          <cell r="RD32"/>
          <cell r="RE32"/>
          <cell r="RH32"/>
          <cell r="RI32"/>
          <cell r="RL32"/>
          <cell r="RM32"/>
          <cell r="RP32"/>
          <cell r="RQ32"/>
          <cell r="RT32"/>
          <cell r="RU32"/>
          <cell r="RX32"/>
          <cell r="RY32"/>
          <cell r="SB32"/>
          <cell r="SC32"/>
          <cell r="SF32"/>
          <cell r="SG32"/>
          <cell r="SJ32"/>
          <cell r="SK32"/>
          <cell r="SN32"/>
          <cell r="SO32"/>
          <cell r="SR32"/>
          <cell r="SS32"/>
          <cell r="SV32"/>
          <cell r="SW32"/>
          <cell r="SZ32"/>
          <cell r="TA32"/>
          <cell r="TD32"/>
          <cell r="TE32"/>
          <cell r="TH32"/>
          <cell r="TI32"/>
          <cell r="TL32"/>
          <cell r="TM32"/>
          <cell r="TP32"/>
          <cell r="TQ32"/>
          <cell r="TT32"/>
          <cell r="TU32"/>
          <cell r="TX32"/>
          <cell r="TY32"/>
          <cell r="UB32"/>
          <cell r="UC32"/>
          <cell r="UF32"/>
          <cell r="UG32"/>
          <cell r="UJ32"/>
          <cell r="UK32"/>
          <cell r="UN32"/>
          <cell r="UO32"/>
          <cell r="UR32"/>
          <cell r="US32"/>
          <cell r="UV32"/>
          <cell r="UW32"/>
          <cell r="UZ32"/>
          <cell r="VA32"/>
          <cell r="VD32"/>
          <cell r="VE32"/>
          <cell r="VH32"/>
          <cell r="VI32"/>
          <cell r="VL32"/>
          <cell r="VM32"/>
          <cell r="VP32"/>
          <cell r="VQ32"/>
          <cell r="VT32"/>
          <cell r="VU32"/>
        </row>
        <row r="33">
          <cell r="A33"/>
          <cell r="I33"/>
          <cell r="J33"/>
          <cell r="GA33"/>
          <cell r="GB33"/>
          <cell r="GE33"/>
          <cell r="GF33"/>
          <cell r="GI33"/>
          <cell r="GJ33"/>
          <cell r="GM33"/>
          <cell r="GN33"/>
          <cell r="GQ33"/>
          <cell r="GR33"/>
          <cell r="GU33"/>
          <cell r="GV33"/>
          <cell r="GY33"/>
          <cell r="GZ33"/>
          <cell r="HC33"/>
          <cell r="HD33"/>
          <cell r="HG33"/>
          <cell r="HH33"/>
          <cell r="HK33"/>
          <cell r="HL33"/>
          <cell r="HO33"/>
          <cell r="HP33"/>
          <cell r="HS33"/>
          <cell r="HT33"/>
          <cell r="HW33"/>
          <cell r="HX33"/>
          <cell r="IA33"/>
          <cell r="IB33"/>
          <cell r="IE33"/>
          <cell r="IF33"/>
          <cell r="II33"/>
          <cell r="IJ33"/>
          <cell r="IM33"/>
          <cell r="IN33"/>
          <cell r="IQ33"/>
          <cell r="IR33"/>
          <cell r="IU33"/>
          <cell r="IV33"/>
          <cell r="IY33"/>
          <cell r="IZ33"/>
          <cell r="JC33"/>
          <cell r="JD33"/>
          <cell r="JG33"/>
          <cell r="JH33"/>
          <cell r="JK33"/>
          <cell r="JL33"/>
          <cell r="JO33"/>
          <cell r="JP33"/>
          <cell r="JS33"/>
          <cell r="JT33"/>
          <cell r="JW33"/>
          <cell r="JX33"/>
          <cell r="KA33"/>
          <cell r="KB33"/>
          <cell r="KE33"/>
          <cell r="KF33"/>
          <cell r="KI33"/>
          <cell r="KJ33"/>
          <cell r="KM33"/>
          <cell r="KN33"/>
          <cell r="KQ33"/>
          <cell r="KR33"/>
          <cell r="KU33"/>
          <cell r="KV33"/>
          <cell r="KY33"/>
          <cell r="KZ33"/>
          <cell r="LC33"/>
          <cell r="LD33"/>
          <cell r="LG33"/>
          <cell r="LH33"/>
          <cell r="LK33"/>
          <cell r="LL33"/>
          <cell r="LO33"/>
          <cell r="LP33"/>
          <cell r="LS33"/>
          <cell r="LT33"/>
          <cell r="LW33"/>
          <cell r="LX33"/>
          <cell r="MA33"/>
          <cell r="MB33"/>
          <cell r="ME33"/>
          <cell r="MF33"/>
          <cell r="MI33"/>
          <cell r="MJ33"/>
          <cell r="MM33"/>
          <cell r="MN33"/>
          <cell r="MQ33"/>
          <cell r="MR33"/>
          <cell r="MU33"/>
          <cell r="MV33"/>
          <cell r="MY33"/>
          <cell r="MZ33"/>
          <cell r="NC33"/>
          <cell r="ND33"/>
          <cell r="NG33"/>
          <cell r="NH33"/>
          <cell r="NK33"/>
          <cell r="NL33"/>
          <cell r="NO33"/>
          <cell r="NP33"/>
          <cell r="NS33"/>
          <cell r="NT33"/>
          <cell r="NW33"/>
          <cell r="NX33"/>
          <cell r="OA33"/>
          <cell r="OB33"/>
          <cell r="OE33"/>
          <cell r="OF33"/>
          <cell r="OI33"/>
          <cell r="OJ33"/>
          <cell r="OM33"/>
          <cell r="ON33"/>
          <cell r="OQ33"/>
          <cell r="OR33"/>
          <cell r="OU33"/>
          <cell r="OV33"/>
          <cell r="OY33"/>
          <cell r="OZ33"/>
          <cell r="PC33"/>
          <cell r="PD33"/>
          <cell r="PG33"/>
          <cell r="PH33"/>
          <cell r="PK33"/>
          <cell r="PL33"/>
          <cell r="PO33"/>
          <cell r="PP33"/>
          <cell r="PS33"/>
          <cell r="PT33"/>
          <cell r="PW33"/>
          <cell r="PX33"/>
          <cell r="QA33"/>
          <cell r="QB33"/>
          <cell r="QE33"/>
          <cell r="QF33"/>
          <cell r="QI33"/>
          <cell r="QJ33"/>
          <cell r="QR33"/>
          <cell r="QS33"/>
          <cell r="QV33"/>
          <cell r="QW33"/>
          <cell r="QZ33"/>
          <cell r="RA33"/>
          <cell r="RD33"/>
          <cell r="RE33"/>
          <cell r="RH33"/>
          <cell r="RI33"/>
          <cell r="RL33"/>
          <cell r="RM33"/>
          <cell r="RP33"/>
          <cell r="RQ33"/>
          <cell r="RT33"/>
          <cell r="RU33"/>
          <cell r="RX33"/>
          <cell r="RY33"/>
          <cell r="SB33"/>
          <cell r="SC33"/>
          <cell r="SF33"/>
          <cell r="SG33"/>
          <cell r="SJ33"/>
          <cell r="SK33"/>
          <cell r="SN33"/>
          <cell r="SO33"/>
          <cell r="SR33"/>
          <cell r="SS33"/>
          <cell r="SV33"/>
          <cell r="SW33"/>
          <cell r="SZ33"/>
          <cell r="TA33"/>
          <cell r="TD33"/>
          <cell r="TE33"/>
          <cell r="TH33"/>
          <cell r="TI33"/>
          <cell r="TL33"/>
          <cell r="TM33"/>
          <cell r="TP33"/>
          <cell r="TQ33"/>
          <cell r="TT33"/>
          <cell r="TU33"/>
          <cell r="TX33"/>
          <cell r="TY33"/>
          <cell r="UB33"/>
          <cell r="UC33"/>
          <cell r="UF33"/>
          <cell r="UG33"/>
          <cell r="UJ33"/>
          <cell r="UK33"/>
          <cell r="UN33"/>
          <cell r="UO33"/>
          <cell r="UR33"/>
          <cell r="US33"/>
          <cell r="UV33"/>
          <cell r="UW33"/>
          <cell r="UZ33"/>
          <cell r="VA33"/>
          <cell r="VD33"/>
          <cell r="VE33"/>
          <cell r="VH33"/>
          <cell r="VI33"/>
          <cell r="VL33"/>
          <cell r="VM33"/>
          <cell r="VP33"/>
          <cell r="VQ33"/>
          <cell r="VT33"/>
          <cell r="VU33"/>
        </row>
        <row r="34">
          <cell r="A34"/>
          <cell r="I34"/>
          <cell r="J34"/>
          <cell r="GA34"/>
          <cell r="GB34"/>
          <cell r="GE34"/>
          <cell r="GF34"/>
          <cell r="GI34"/>
          <cell r="GJ34"/>
          <cell r="GM34"/>
          <cell r="GN34"/>
          <cell r="GQ34"/>
          <cell r="GR34"/>
          <cell r="GU34"/>
          <cell r="GV34"/>
          <cell r="GY34"/>
          <cell r="GZ34"/>
          <cell r="HC34"/>
          <cell r="HD34"/>
          <cell r="HG34"/>
          <cell r="HH34"/>
          <cell r="HK34"/>
          <cell r="HL34"/>
          <cell r="HO34"/>
          <cell r="HP34"/>
          <cell r="HS34"/>
          <cell r="HT34"/>
          <cell r="HW34"/>
          <cell r="HX34"/>
          <cell r="IA34"/>
          <cell r="IB34"/>
          <cell r="IE34"/>
          <cell r="IF34"/>
          <cell r="II34"/>
          <cell r="IJ34"/>
          <cell r="IM34"/>
          <cell r="IN34"/>
          <cell r="IQ34"/>
          <cell r="IR34"/>
          <cell r="IU34"/>
          <cell r="IV34"/>
          <cell r="IY34"/>
          <cell r="IZ34"/>
          <cell r="JC34"/>
          <cell r="JD34"/>
          <cell r="JG34"/>
          <cell r="JH34"/>
          <cell r="JK34"/>
          <cell r="JL34"/>
          <cell r="JO34"/>
          <cell r="JP34"/>
          <cell r="JS34"/>
          <cell r="JT34"/>
          <cell r="JW34"/>
          <cell r="JX34"/>
          <cell r="KA34"/>
          <cell r="KB34"/>
          <cell r="KE34"/>
          <cell r="KF34"/>
          <cell r="KI34"/>
          <cell r="KJ34"/>
          <cell r="KM34"/>
          <cell r="KN34"/>
          <cell r="KQ34"/>
          <cell r="KR34"/>
          <cell r="KU34"/>
          <cell r="KV34"/>
          <cell r="KY34"/>
          <cell r="KZ34"/>
          <cell r="LC34"/>
          <cell r="LD34"/>
          <cell r="LG34"/>
          <cell r="LH34"/>
          <cell r="LK34"/>
          <cell r="LL34"/>
          <cell r="LO34"/>
          <cell r="LP34"/>
          <cell r="LS34"/>
          <cell r="LT34"/>
          <cell r="LW34"/>
          <cell r="LX34"/>
          <cell r="MA34"/>
          <cell r="MB34"/>
          <cell r="ME34"/>
          <cell r="MF34"/>
          <cell r="MI34"/>
          <cell r="MJ34"/>
          <cell r="MM34"/>
          <cell r="MN34"/>
          <cell r="MQ34"/>
          <cell r="MR34"/>
          <cell r="MU34"/>
          <cell r="MV34"/>
          <cell r="MY34"/>
          <cell r="MZ34"/>
          <cell r="NC34"/>
          <cell r="ND34"/>
          <cell r="NG34"/>
          <cell r="NH34"/>
          <cell r="NK34"/>
          <cell r="NL34"/>
          <cell r="NO34"/>
          <cell r="NP34"/>
          <cell r="NS34"/>
          <cell r="NT34"/>
          <cell r="NW34"/>
          <cell r="NX34"/>
          <cell r="OA34"/>
          <cell r="OB34"/>
          <cell r="OE34"/>
          <cell r="OF34"/>
          <cell r="OI34"/>
          <cell r="OJ34"/>
          <cell r="OM34"/>
          <cell r="ON34"/>
          <cell r="OQ34"/>
          <cell r="OR34"/>
          <cell r="OU34"/>
          <cell r="OV34"/>
          <cell r="OY34"/>
          <cell r="OZ34"/>
          <cell r="PC34"/>
          <cell r="PD34"/>
          <cell r="PG34"/>
          <cell r="PH34"/>
          <cell r="PK34"/>
          <cell r="PL34"/>
          <cell r="PO34"/>
          <cell r="PP34"/>
          <cell r="PS34"/>
          <cell r="PT34"/>
          <cell r="PW34"/>
          <cell r="PX34"/>
          <cell r="QA34"/>
          <cell r="QB34"/>
          <cell r="QE34"/>
          <cell r="QF34"/>
          <cell r="QI34"/>
          <cell r="QJ34"/>
          <cell r="QR34"/>
          <cell r="QS34"/>
          <cell r="QV34"/>
          <cell r="QW34"/>
          <cell r="QZ34"/>
          <cell r="RA34"/>
          <cell r="RD34"/>
          <cell r="RE34"/>
          <cell r="RH34"/>
          <cell r="RI34"/>
          <cell r="RL34"/>
          <cell r="RM34"/>
          <cell r="RP34"/>
          <cell r="RQ34"/>
          <cell r="RT34"/>
          <cell r="RU34"/>
          <cell r="RX34"/>
          <cell r="RY34"/>
          <cell r="SB34"/>
          <cell r="SC34"/>
          <cell r="SF34"/>
          <cell r="SG34"/>
          <cell r="SJ34"/>
          <cell r="SK34"/>
          <cell r="SN34"/>
          <cell r="SO34"/>
          <cell r="SR34"/>
          <cell r="SS34"/>
          <cell r="SV34"/>
          <cell r="SW34"/>
          <cell r="SZ34"/>
          <cell r="TA34"/>
          <cell r="TD34"/>
          <cell r="TE34"/>
          <cell r="TH34"/>
          <cell r="TI34"/>
          <cell r="TL34"/>
          <cell r="TM34"/>
          <cell r="TP34"/>
          <cell r="TQ34"/>
          <cell r="TT34"/>
          <cell r="TU34"/>
          <cell r="TX34"/>
          <cell r="TY34"/>
          <cell r="UB34"/>
          <cell r="UC34"/>
          <cell r="UF34"/>
          <cell r="UG34"/>
          <cell r="UJ34"/>
          <cell r="UK34"/>
          <cell r="UN34"/>
          <cell r="UO34"/>
          <cell r="UR34"/>
          <cell r="US34"/>
          <cell r="UV34"/>
          <cell r="UW34"/>
          <cell r="UZ34"/>
          <cell r="VA34"/>
          <cell r="VD34"/>
          <cell r="VE34"/>
          <cell r="VH34"/>
          <cell r="VI34"/>
          <cell r="VL34"/>
          <cell r="VM34"/>
          <cell r="VP34"/>
          <cell r="VQ34"/>
          <cell r="VT34"/>
          <cell r="VU34"/>
        </row>
        <row r="35">
          <cell r="A35"/>
          <cell r="I35"/>
          <cell r="J35"/>
          <cell r="GA35"/>
          <cell r="GB35"/>
          <cell r="GE35"/>
          <cell r="GF35"/>
          <cell r="GI35"/>
          <cell r="GJ35"/>
          <cell r="GM35"/>
          <cell r="GN35"/>
          <cell r="GQ35"/>
          <cell r="GR35"/>
          <cell r="GU35"/>
          <cell r="GV35"/>
          <cell r="GY35"/>
          <cell r="GZ35"/>
          <cell r="HC35"/>
          <cell r="HD35"/>
          <cell r="HG35"/>
          <cell r="HH35"/>
          <cell r="HK35"/>
          <cell r="HL35"/>
          <cell r="HO35"/>
          <cell r="HP35"/>
          <cell r="HS35"/>
          <cell r="HT35"/>
          <cell r="HW35"/>
          <cell r="HX35"/>
          <cell r="IA35"/>
          <cell r="IB35"/>
          <cell r="IE35"/>
          <cell r="IF35"/>
          <cell r="II35"/>
          <cell r="IJ35"/>
          <cell r="IM35"/>
          <cell r="IN35"/>
          <cell r="IQ35"/>
          <cell r="IR35"/>
          <cell r="IU35"/>
          <cell r="IV35"/>
          <cell r="IY35"/>
          <cell r="IZ35"/>
          <cell r="JC35"/>
          <cell r="JD35"/>
          <cell r="JG35"/>
          <cell r="JH35"/>
          <cell r="JK35"/>
          <cell r="JL35"/>
          <cell r="JO35"/>
          <cell r="JP35"/>
          <cell r="JS35"/>
          <cell r="JT35"/>
          <cell r="JW35"/>
          <cell r="JX35"/>
          <cell r="KA35"/>
          <cell r="KB35"/>
          <cell r="KE35"/>
          <cell r="KF35"/>
          <cell r="KI35"/>
          <cell r="KJ35"/>
          <cell r="KM35"/>
          <cell r="KN35"/>
          <cell r="KQ35"/>
          <cell r="KR35"/>
          <cell r="KU35"/>
          <cell r="KV35"/>
          <cell r="KY35"/>
          <cell r="KZ35"/>
          <cell r="LC35"/>
          <cell r="LD35"/>
          <cell r="LG35"/>
          <cell r="LH35"/>
          <cell r="LK35"/>
          <cell r="LL35"/>
          <cell r="LO35"/>
          <cell r="LP35"/>
          <cell r="LS35"/>
          <cell r="LT35"/>
          <cell r="LW35"/>
          <cell r="LX35"/>
          <cell r="MA35"/>
          <cell r="MB35"/>
          <cell r="ME35"/>
          <cell r="MF35"/>
          <cell r="MI35"/>
          <cell r="MJ35"/>
          <cell r="MM35"/>
          <cell r="MN35"/>
          <cell r="MQ35"/>
          <cell r="MR35"/>
          <cell r="MU35"/>
          <cell r="MV35"/>
          <cell r="MY35"/>
          <cell r="MZ35"/>
          <cell r="NC35"/>
          <cell r="ND35"/>
          <cell r="NG35"/>
          <cell r="NH35"/>
          <cell r="NK35"/>
          <cell r="NL35"/>
          <cell r="NO35"/>
          <cell r="NP35"/>
          <cell r="NS35"/>
          <cell r="NT35"/>
          <cell r="NW35"/>
          <cell r="NX35"/>
          <cell r="OA35"/>
          <cell r="OB35"/>
          <cell r="OE35"/>
          <cell r="OF35"/>
          <cell r="OI35"/>
          <cell r="OJ35"/>
          <cell r="OM35"/>
          <cell r="ON35"/>
          <cell r="OQ35"/>
          <cell r="OR35"/>
          <cell r="OU35"/>
          <cell r="OV35"/>
          <cell r="OY35"/>
          <cell r="OZ35"/>
          <cell r="PC35"/>
          <cell r="PD35"/>
          <cell r="PG35"/>
          <cell r="PH35"/>
          <cell r="PK35"/>
          <cell r="PL35"/>
          <cell r="PO35"/>
          <cell r="PP35"/>
          <cell r="PS35"/>
          <cell r="PT35"/>
          <cell r="PW35"/>
          <cell r="PX35"/>
          <cell r="QA35"/>
          <cell r="QB35"/>
          <cell r="QE35"/>
          <cell r="QF35"/>
          <cell r="QI35"/>
          <cell r="QJ35"/>
          <cell r="QR35"/>
          <cell r="QS35"/>
          <cell r="QV35"/>
          <cell r="QW35"/>
          <cell r="QZ35"/>
          <cell r="RA35"/>
          <cell r="RD35"/>
          <cell r="RE35"/>
          <cell r="RH35"/>
          <cell r="RI35"/>
          <cell r="RL35"/>
          <cell r="RM35"/>
          <cell r="RP35"/>
          <cell r="RQ35"/>
          <cell r="RT35"/>
          <cell r="RU35"/>
          <cell r="RX35"/>
          <cell r="RY35"/>
          <cell r="SB35"/>
          <cell r="SC35"/>
          <cell r="SF35"/>
          <cell r="SG35"/>
          <cell r="SJ35"/>
          <cell r="SK35"/>
          <cell r="SN35"/>
          <cell r="SO35"/>
          <cell r="SR35"/>
          <cell r="SS35"/>
          <cell r="SV35"/>
          <cell r="SW35"/>
          <cell r="SZ35"/>
          <cell r="TA35"/>
          <cell r="TD35"/>
          <cell r="TE35"/>
          <cell r="TH35"/>
          <cell r="TI35"/>
          <cell r="TL35"/>
          <cell r="TM35"/>
          <cell r="TP35"/>
          <cell r="TQ35"/>
          <cell r="TT35"/>
          <cell r="TU35"/>
          <cell r="TX35"/>
          <cell r="TY35"/>
          <cell r="UB35"/>
          <cell r="UC35"/>
          <cell r="UF35"/>
          <cell r="UG35"/>
          <cell r="UJ35"/>
          <cell r="UK35"/>
          <cell r="UN35"/>
          <cell r="UO35"/>
          <cell r="UR35"/>
          <cell r="US35"/>
          <cell r="UV35"/>
          <cell r="UW35"/>
          <cell r="UZ35"/>
          <cell r="VA35"/>
          <cell r="VD35"/>
          <cell r="VE35"/>
          <cell r="VH35"/>
          <cell r="VI35"/>
          <cell r="VL35"/>
          <cell r="VM35"/>
          <cell r="VP35"/>
          <cell r="VQ35"/>
          <cell r="VT35"/>
          <cell r="VU35"/>
        </row>
        <row r="36">
          <cell r="A36"/>
          <cell r="I36"/>
          <cell r="J36"/>
          <cell r="GA36"/>
          <cell r="GB36"/>
          <cell r="GE36"/>
          <cell r="GF36"/>
          <cell r="GI36"/>
          <cell r="GJ36"/>
          <cell r="GM36"/>
          <cell r="GN36"/>
          <cell r="GQ36"/>
          <cell r="GR36"/>
          <cell r="GU36"/>
          <cell r="GV36"/>
          <cell r="GY36"/>
          <cell r="GZ36"/>
          <cell r="HC36"/>
          <cell r="HD36"/>
          <cell r="HG36"/>
          <cell r="HH36"/>
          <cell r="HK36"/>
          <cell r="HL36"/>
          <cell r="HO36"/>
          <cell r="HP36"/>
          <cell r="HS36"/>
          <cell r="HT36"/>
          <cell r="HW36"/>
          <cell r="HX36"/>
          <cell r="IA36"/>
          <cell r="IB36"/>
          <cell r="IE36"/>
          <cell r="IF36"/>
          <cell r="II36"/>
          <cell r="IJ36"/>
          <cell r="IM36"/>
          <cell r="IN36"/>
          <cell r="IQ36"/>
          <cell r="IR36"/>
          <cell r="IU36"/>
          <cell r="IV36"/>
          <cell r="IY36"/>
          <cell r="IZ36"/>
          <cell r="JC36"/>
          <cell r="JD36"/>
          <cell r="JG36"/>
          <cell r="JH36"/>
          <cell r="JK36"/>
          <cell r="JL36"/>
          <cell r="JO36"/>
          <cell r="JP36"/>
          <cell r="JS36"/>
          <cell r="JT36"/>
          <cell r="JW36"/>
          <cell r="JX36"/>
          <cell r="KA36"/>
          <cell r="KB36"/>
          <cell r="KE36"/>
          <cell r="KF36"/>
          <cell r="KI36"/>
          <cell r="KJ36"/>
          <cell r="KM36"/>
          <cell r="KN36"/>
          <cell r="KQ36"/>
          <cell r="KR36"/>
          <cell r="KU36"/>
          <cell r="KV36"/>
          <cell r="KY36"/>
          <cell r="KZ36"/>
          <cell r="LC36"/>
          <cell r="LD36"/>
          <cell r="LG36"/>
          <cell r="LH36"/>
          <cell r="LK36"/>
          <cell r="LL36"/>
          <cell r="LO36"/>
          <cell r="LP36"/>
          <cell r="LS36"/>
          <cell r="LT36"/>
          <cell r="LW36"/>
          <cell r="LX36"/>
          <cell r="MA36"/>
          <cell r="MB36"/>
          <cell r="ME36"/>
          <cell r="MF36"/>
          <cell r="MI36"/>
          <cell r="MJ36"/>
          <cell r="MM36"/>
          <cell r="MN36"/>
          <cell r="MQ36"/>
          <cell r="MR36"/>
          <cell r="MU36"/>
          <cell r="MV36"/>
          <cell r="MY36"/>
          <cell r="MZ36"/>
          <cell r="NC36"/>
          <cell r="ND36"/>
          <cell r="NG36"/>
          <cell r="NH36"/>
          <cell r="NK36"/>
          <cell r="NL36"/>
          <cell r="NO36"/>
          <cell r="NP36"/>
          <cell r="NS36"/>
          <cell r="NT36"/>
          <cell r="NW36"/>
          <cell r="NX36"/>
          <cell r="OA36"/>
          <cell r="OB36"/>
          <cell r="OE36"/>
          <cell r="OF36"/>
          <cell r="OI36"/>
          <cell r="OJ36"/>
          <cell r="OM36"/>
          <cell r="ON36"/>
          <cell r="OQ36"/>
          <cell r="OR36"/>
          <cell r="OU36"/>
          <cell r="OV36"/>
          <cell r="OY36"/>
          <cell r="OZ36"/>
          <cell r="PC36"/>
          <cell r="PD36"/>
          <cell r="PG36"/>
          <cell r="PH36"/>
          <cell r="PK36"/>
          <cell r="PL36"/>
          <cell r="PO36"/>
          <cell r="PP36"/>
          <cell r="PS36"/>
          <cell r="PT36"/>
          <cell r="PW36"/>
          <cell r="PX36"/>
          <cell r="QA36"/>
          <cell r="QB36"/>
          <cell r="QE36"/>
          <cell r="QF36"/>
          <cell r="QI36"/>
          <cell r="QJ36"/>
          <cell r="QR36"/>
          <cell r="QS36"/>
          <cell r="QV36"/>
          <cell r="QW36"/>
          <cell r="QZ36"/>
          <cell r="RA36"/>
          <cell r="RD36"/>
          <cell r="RE36"/>
          <cell r="RH36"/>
          <cell r="RI36"/>
          <cell r="RL36"/>
          <cell r="RM36"/>
          <cell r="RP36"/>
          <cell r="RQ36"/>
          <cell r="RT36"/>
          <cell r="RU36"/>
          <cell r="RX36"/>
          <cell r="RY36"/>
          <cell r="SB36"/>
          <cell r="SC36"/>
          <cell r="SF36"/>
          <cell r="SG36"/>
          <cell r="SJ36"/>
          <cell r="SK36"/>
          <cell r="SN36"/>
          <cell r="SO36"/>
          <cell r="SR36"/>
          <cell r="SS36"/>
          <cell r="SV36"/>
          <cell r="SW36"/>
          <cell r="SZ36"/>
          <cell r="TA36"/>
          <cell r="TD36"/>
          <cell r="TE36"/>
          <cell r="TH36"/>
          <cell r="TI36"/>
          <cell r="TL36"/>
          <cell r="TM36"/>
          <cell r="TP36"/>
          <cell r="TQ36"/>
          <cell r="TT36"/>
          <cell r="TU36"/>
          <cell r="TX36"/>
          <cell r="TY36"/>
          <cell r="UB36"/>
          <cell r="UC36"/>
          <cell r="UF36"/>
          <cell r="UG36"/>
          <cell r="UJ36"/>
          <cell r="UK36"/>
          <cell r="UN36"/>
          <cell r="UO36"/>
          <cell r="UR36"/>
          <cell r="US36"/>
          <cell r="UV36"/>
          <cell r="UW36"/>
          <cell r="UZ36"/>
          <cell r="VA36"/>
          <cell r="VD36"/>
          <cell r="VE36"/>
          <cell r="VH36"/>
          <cell r="VI36"/>
          <cell r="VL36"/>
          <cell r="VM36"/>
          <cell r="VP36"/>
          <cell r="VQ36"/>
          <cell r="VT36"/>
          <cell r="VU36"/>
        </row>
        <row r="37">
          <cell r="A37"/>
          <cell r="I37"/>
          <cell r="J37"/>
          <cell r="GA37"/>
          <cell r="GB37"/>
          <cell r="GE37"/>
          <cell r="GF37"/>
          <cell r="GI37"/>
          <cell r="GJ37"/>
          <cell r="GM37"/>
          <cell r="GN37"/>
          <cell r="GQ37"/>
          <cell r="GR37"/>
          <cell r="GU37"/>
          <cell r="GV37"/>
          <cell r="GY37"/>
          <cell r="GZ37"/>
          <cell r="HC37"/>
          <cell r="HD37"/>
          <cell r="HG37"/>
          <cell r="HH37"/>
          <cell r="HK37"/>
          <cell r="HL37"/>
          <cell r="HO37"/>
          <cell r="HP37"/>
          <cell r="HS37"/>
          <cell r="HT37"/>
          <cell r="HW37"/>
          <cell r="HX37"/>
          <cell r="IA37"/>
          <cell r="IB37"/>
          <cell r="IE37"/>
          <cell r="IF37"/>
          <cell r="II37"/>
          <cell r="IJ37"/>
          <cell r="IM37"/>
          <cell r="IN37"/>
          <cell r="IQ37"/>
          <cell r="IR37"/>
          <cell r="IU37"/>
          <cell r="IV37"/>
          <cell r="IY37"/>
          <cell r="IZ37"/>
          <cell r="JC37"/>
          <cell r="JD37"/>
          <cell r="JG37"/>
          <cell r="JH37"/>
          <cell r="JK37"/>
          <cell r="JL37"/>
          <cell r="JO37"/>
          <cell r="JP37"/>
          <cell r="JS37"/>
          <cell r="JT37"/>
          <cell r="JW37"/>
          <cell r="JX37"/>
          <cell r="KA37"/>
          <cell r="KB37"/>
          <cell r="KE37"/>
          <cell r="KF37"/>
          <cell r="KI37"/>
          <cell r="KJ37"/>
          <cell r="KM37"/>
          <cell r="KN37"/>
          <cell r="KQ37"/>
          <cell r="KR37"/>
          <cell r="KU37"/>
          <cell r="KV37"/>
          <cell r="KY37"/>
          <cell r="KZ37"/>
          <cell r="LC37"/>
          <cell r="LD37"/>
          <cell r="LG37"/>
          <cell r="LH37"/>
          <cell r="LK37"/>
          <cell r="LL37"/>
          <cell r="LO37"/>
          <cell r="LP37"/>
          <cell r="LS37"/>
          <cell r="LT37"/>
          <cell r="LW37"/>
          <cell r="LX37"/>
          <cell r="MA37"/>
          <cell r="MB37"/>
          <cell r="ME37"/>
          <cell r="MF37"/>
          <cell r="MI37"/>
          <cell r="MJ37"/>
          <cell r="MM37"/>
          <cell r="MN37"/>
          <cell r="MQ37"/>
          <cell r="MR37"/>
          <cell r="MU37"/>
          <cell r="MV37"/>
          <cell r="MY37"/>
          <cell r="MZ37"/>
          <cell r="NC37"/>
          <cell r="ND37"/>
          <cell r="NG37"/>
          <cell r="NH37"/>
          <cell r="NK37"/>
          <cell r="NL37"/>
          <cell r="NO37"/>
          <cell r="NP37"/>
          <cell r="NS37"/>
          <cell r="NT37"/>
          <cell r="NW37"/>
          <cell r="NX37"/>
          <cell r="OA37"/>
          <cell r="OB37"/>
          <cell r="OE37"/>
          <cell r="OF37"/>
          <cell r="OI37"/>
          <cell r="OJ37"/>
          <cell r="OM37"/>
          <cell r="ON37"/>
          <cell r="OQ37"/>
          <cell r="OR37"/>
          <cell r="OU37"/>
          <cell r="OV37"/>
          <cell r="OY37"/>
          <cell r="OZ37"/>
          <cell r="PC37"/>
          <cell r="PD37"/>
          <cell r="PG37"/>
          <cell r="PH37"/>
          <cell r="PK37"/>
          <cell r="PL37"/>
          <cell r="PO37"/>
          <cell r="PP37"/>
          <cell r="PS37"/>
          <cell r="PT37"/>
          <cell r="PW37"/>
          <cell r="PX37"/>
          <cell r="QA37"/>
          <cell r="QB37"/>
          <cell r="QE37"/>
          <cell r="QF37"/>
          <cell r="QI37"/>
          <cell r="QJ37"/>
          <cell r="QR37"/>
          <cell r="QS37"/>
          <cell r="QV37"/>
          <cell r="QW37"/>
          <cell r="QZ37"/>
          <cell r="RA37"/>
          <cell r="RD37"/>
          <cell r="RE37"/>
          <cell r="RH37"/>
          <cell r="RI37"/>
          <cell r="RL37"/>
          <cell r="RM37"/>
          <cell r="RP37"/>
          <cell r="RQ37"/>
          <cell r="RT37"/>
          <cell r="RU37"/>
          <cell r="RX37"/>
          <cell r="RY37"/>
          <cell r="SB37"/>
          <cell r="SC37"/>
          <cell r="SF37"/>
          <cell r="SG37"/>
          <cell r="SJ37"/>
          <cell r="SK37"/>
          <cell r="SN37"/>
          <cell r="SO37"/>
          <cell r="SR37"/>
          <cell r="SS37"/>
          <cell r="SV37"/>
          <cell r="SW37"/>
          <cell r="SZ37"/>
          <cell r="TA37"/>
          <cell r="TD37"/>
          <cell r="TE37"/>
          <cell r="TH37"/>
          <cell r="TI37"/>
          <cell r="TL37"/>
          <cell r="TM37"/>
          <cell r="TP37"/>
          <cell r="TQ37"/>
          <cell r="TT37"/>
          <cell r="TU37"/>
          <cell r="TX37"/>
          <cell r="TY37"/>
          <cell r="UB37"/>
          <cell r="UC37"/>
          <cell r="UF37"/>
          <cell r="UG37"/>
          <cell r="UJ37"/>
          <cell r="UK37"/>
          <cell r="UN37"/>
          <cell r="UO37"/>
          <cell r="UR37"/>
          <cell r="US37"/>
          <cell r="UV37"/>
          <cell r="UW37"/>
          <cell r="UZ37"/>
          <cell r="VA37"/>
          <cell r="VD37"/>
          <cell r="VE37"/>
          <cell r="VH37"/>
          <cell r="VI37"/>
          <cell r="VL37"/>
          <cell r="VM37"/>
          <cell r="VP37"/>
          <cell r="VQ37"/>
          <cell r="VT37"/>
          <cell r="VU37"/>
        </row>
        <row r="38">
          <cell r="A38"/>
          <cell r="I38"/>
          <cell r="J38"/>
          <cell r="GA38"/>
          <cell r="GB38"/>
          <cell r="GE38"/>
          <cell r="GF38"/>
          <cell r="GI38"/>
          <cell r="GJ38"/>
          <cell r="GM38"/>
          <cell r="GN38"/>
          <cell r="GQ38"/>
          <cell r="GR38"/>
          <cell r="GU38"/>
          <cell r="GV38"/>
          <cell r="GY38"/>
          <cell r="GZ38"/>
          <cell r="HC38"/>
          <cell r="HD38"/>
          <cell r="HG38"/>
          <cell r="HH38"/>
          <cell r="HK38"/>
          <cell r="HL38"/>
          <cell r="HO38"/>
          <cell r="HP38"/>
          <cell r="HS38"/>
          <cell r="HT38"/>
          <cell r="HW38"/>
          <cell r="HX38"/>
          <cell r="IA38"/>
          <cell r="IB38"/>
          <cell r="IE38"/>
          <cell r="IF38"/>
          <cell r="II38"/>
          <cell r="IJ38"/>
          <cell r="IM38"/>
          <cell r="IN38"/>
          <cell r="IQ38"/>
          <cell r="IR38"/>
          <cell r="IU38"/>
          <cell r="IV38"/>
          <cell r="IY38"/>
          <cell r="IZ38"/>
          <cell r="JC38"/>
          <cell r="JD38"/>
          <cell r="JG38"/>
          <cell r="JH38"/>
          <cell r="JK38"/>
          <cell r="JL38"/>
          <cell r="JO38"/>
          <cell r="JP38"/>
          <cell r="JS38"/>
          <cell r="JT38"/>
          <cell r="JW38"/>
          <cell r="JX38"/>
          <cell r="KA38"/>
          <cell r="KB38"/>
          <cell r="KE38"/>
          <cell r="KF38"/>
          <cell r="KI38"/>
          <cell r="KJ38"/>
          <cell r="KM38"/>
          <cell r="KN38"/>
          <cell r="KQ38"/>
          <cell r="KR38"/>
          <cell r="KU38"/>
          <cell r="KV38"/>
          <cell r="KY38"/>
          <cell r="KZ38"/>
          <cell r="LC38"/>
          <cell r="LD38"/>
          <cell r="LG38"/>
          <cell r="LH38"/>
          <cell r="LK38"/>
          <cell r="LL38"/>
          <cell r="LO38"/>
          <cell r="LP38"/>
          <cell r="LS38"/>
          <cell r="LT38"/>
          <cell r="LW38"/>
          <cell r="LX38"/>
          <cell r="MA38"/>
          <cell r="MB38"/>
          <cell r="ME38"/>
          <cell r="MF38"/>
          <cell r="MI38"/>
          <cell r="MJ38"/>
          <cell r="MM38"/>
          <cell r="MN38"/>
          <cell r="MQ38"/>
          <cell r="MR38"/>
          <cell r="MU38"/>
          <cell r="MV38"/>
          <cell r="MY38"/>
          <cell r="MZ38"/>
          <cell r="NC38"/>
          <cell r="ND38"/>
          <cell r="NG38"/>
          <cell r="NH38"/>
          <cell r="NK38"/>
          <cell r="NL38"/>
          <cell r="NO38"/>
          <cell r="NP38"/>
          <cell r="NS38"/>
          <cell r="NT38"/>
          <cell r="NW38"/>
          <cell r="NX38"/>
          <cell r="OA38"/>
          <cell r="OB38"/>
          <cell r="OE38"/>
          <cell r="OF38"/>
          <cell r="OI38"/>
          <cell r="OJ38"/>
          <cell r="OM38"/>
          <cell r="ON38"/>
          <cell r="OQ38"/>
          <cell r="OR38"/>
          <cell r="OU38"/>
          <cell r="OV38"/>
          <cell r="OY38"/>
          <cell r="OZ38"/>
          <cell r="PC38"/>
          <cell r="PD38"/>
          <cell r="PG38"/>
          <cell r="PH38"/>
          <cell r="PK38"/>
          <cell r="PL38"/>
          <cell r="PO38"/>
          <cell r="PP38"/>
          <cell r="PS38"/>
          <cell r="PT38"/>
          <cell r="PW38"/>
          <cell r="PX38"/>
          <cell r="QA38"/>
          <cell r="QB38"/>
          <cell r="QE38"/>
          <cell r="QF38"/>
          <cell r="QI38"/>
          <cell r="QJ38"/>
          <cell r="QR38"/>
          <cell r="QS38"/>
          <cell r="QV38"/>
          <cell r="QW38"/>
          <cell r="QZ38"/>
          <cell r="RA38"/>
          <cell r="RD38"/>
          <cell r="RE38"/>
          <cell r="RH38"/>
          <cell r="RI38"/>
          <cell r="RL38"/>
          <cell r="RM38"/>
          <cell r="RP38"/>
          <cell r="RQ38"/>
          <cell r="RT38"/>
          <cell r="RU38"/>
          <cell r="RX38"/>
          <cell r="RY38"/>
          <cell r="SB38"/>
          <cell r="SC38"/>
          <cell r="SF38"/>
          <cell r="SG38"/>
          <cell r="SJ38"/>
          <cell r="SK38"/>
          <cell r="SN38"/>
          <cell r="SO38"/>
          <cell r="SR38"/>
          <cell r="SS38"/>
          <cell r="SV38"/>
          <cell r="SW38"/>
          <cell r="SZ38"/>
          <cell r="TA38"/>
          <cell r="TD38"/>
          <cell r="TE38"/>
          <cell r="TH38"/>
          <cell r="TI38"/>
          <cell r="TL38"/>
          <cell r="TM38"/>
          <cell r="TP38"/>
          <cell r="TQ38"/>
          <cell r="TT38"/>
          <cell r="TU38"/>
          <cell r="TX38"/>
          <cell r="TY38"/>
          <cell r="UB38"/>
          <cell r="UC38"/>
          <cell r="UF38"/>
          <cell r="UG38"/>
          <cell r="UJ38"/>
          <cell r="UK38"/>
          <cell r="UN38"/>
          <cell r="UO38"/>
          <cell r="UR38"/>
          <cell r="US38"/>
          <cell r="UV38"/>
          <cell r="UW38"/>
          <cell r="UZ38"/>
          <cell r="VA38"/>
          <cell r="VD38"/>
          <cell r="VE38"/>
          <cell r="VH38"/>
          <cell r="VI38"/>
          <cell r="VL38"/>
          <cell r="VM38"/>
          <cell r="VP38"/>
          <cell r="VQ38"/>
          <cell r="VT38"/>
          <cell r="VU38"/>
        </row>
        <row r="39">
          <cell r="A39"/>
          <cell r="I39"/>
          <cell r="J39"/>
          <cell r="GA39"/>
          <cell r="GB39"/>
          <cell r="GE39"/>
          <cell r="GF39"/>
          <cell r="GI39"/>
          <cell r="GJ39"/>
          <cell r="GM39"/>
          <cell r="GN39"/>
          <cell r="GQ39"/>
          <cell r="GR39"/>
          <cell r="GU39"/>
          <cell r="GV39"/>
          <cell r="GY39"/>
          <cell r="GZ39"/>
          <cell r="HC39"/>
          <cell r="HD39"/>
          <cell r="HG39"/>
          <cell r="HH39"/>
          <cell r="HK39"/>
          <cell r="HL39"/>
          <cell r="HO39"/>
          <cell r="HP39"/>
          <cell r="HS39"/>
          <cell r="HT39"/>
          <cell r="HW39"/>
          <cell r="HX39"/>
          <cell r="IA39"/>
          <cell r="IB39"/>
          <cell r="IE39"/>
          <cell r="IF39"/>
          <cell r="II39"/>
          <cell r="IJ39"/>
          <cell r="IM39"/>
          <cell r="IN39"/>
          <cell r="IQ39"/>
          <cell r="IR39"/>
          <cell r="IU39"/>
          <cell r="IV39"/>
          <cell r="IY39"/>
          <cell r="IZ39"/>
          <cell r="JC39"/>
          <cell r="JD39"/>
          <cell r="JG39"/>
          <cell r="JH39"/>
          <cell r="JK39"/>
          <cell r="JL39"/>
          <cell r="JO39"/>
          <cell r="JP39"/>
          <cell r="JS39"/>
          <cell r="JT39"/>
          <cell r="JW39"/>
          <cell r="JX39"/>
          <cell r="KA39"/>
          <cell r="KB39"/>
          <cell r="KE39"/>
          <cell r="KF39"/>
          <cell r="KI39"/>
          <cell r="KJ39"/>
          <cell r="KM39"/>
          <cell r="KN39"/>
          <cell r="KQ39"/>
          <cell r="KR39"/>
          <cell r="KU39"/>
          <cell r="KV39"/>
          <cell r="KY39"/>
          <cell r="KZ39"/>
          <cell r="LC39"/>
          <cell r="LD39"/>
          <cell r="LG39"/>
          <cell r="LH39"/>
          <cell r="LK39"/>
          <cell r="LL39"/>
          <cell r="LO39"/>
          <cell r="LP39"/>
          <cell r="LS39"/>
          <cell r="LT39"/>
          <cell r="LW39"/>
          <cell r="LX39"/>
          <cell r="MA39"/>
          <cell r="MB39"/>
          <cell r="ME39"/>
          <cell r="MF39"/>
          <cell r="MI39"/>
          <cell r="MJ39"/>
          <cell r="MM39"/>
          <cell r="MN39"/>
          <cell r="MQ39"/>
          <cell r="MR39"/>
          <cell r="MU39"/>
          <cell r="MV39"/>
          <cell r="MY39"/>
          <cell r="MZ39"/>
          <cell r="NC39"/>
          <cell r="ND39"/>
          <cell r="NG39"/>
          <cell r="NH39"/>
          <cell r="NK39"/>
          <cell r="NL39"/>
          <cell r="NO39"/>
          <cell r="NP39"/>
          <cell r="NS39"/>
          <cell r="NT39"/>
          <cell r="NW39"/>
          <cell r="NX39"/>
          <cell r="OA39"/>
          <cell r="OB39"/>
          <cell r="OE39"/>
          <cell r="OF39"/>
          <cell r="OI39"/>
          <cell r="OJ39"/>
          <cell r="OM39"/>
          <cell r="ON39"/>
          <cell r="OQ39"/>
          <cell r="OR39"/>
          <cell r="OU39"/>
          <cell r="OV39"/>
          <cell r="OY39"/>
          <cell r="OZ39"/>
          <cell r="PC39"/>
          <cell r="PD39"/>
          <cell r="PG39"/>
          <cell r="PH39"/>
          <cell r="PK39"/>
          <cell r="PL39"/>
          <cell r="PO39"/>
          <cell r="PP39"/>
          <cell r="PS39"/>
          <cell r="PT39"/>
          <cell r="PW39"/>
          <cell r="PX39"/>
          <cell r="QA39"/>
          <cell r="QB39"/>
          <cell r="QE39"/>
          <cell r="QF39"/>
          <cell r="QI39"/>
          <cell r="QJ39"/>
          <cell r="QR39"/>
          <cell r="QS39"/>
          <cell r="QV39"/>
          <cell r="QW39"/>
          <cell r="QZ39"/>
          <cell r="RA39"/>
          <cell r="RD39"/>
          <cell r="RE39"/>
          <cell r="RH39"/>
          <cell r="RI39"/>
          <cell r="RL39"/>
          <cell r="RM39"/>
          <cell r="RP39"/>
          <cell r="RQ39"/>
          <cell r="RT39"/>
          <cell r="RU39"/>
          <cell r="RX39"/>
          <cell r="RY39"/>
          <cell r="SB39"/>
          <cell r="SC39"/>
          <cell r="SF39"/>
          <cell r="SG39"/>
          <cell r="SJ39"/>
          <cell r="SK39"/>
          <cell r="SN39"/>
          <cell r="SO39"/>
          <cell r="SR39"/>
          <cell r="SS39"/>
          <cell r="SV39"/>
          <cell r="SW39"/>
          <cell r="SZ39"/>
          <cell r="TA39"/>
          <cell r="TD39"/>
          <cell r="TE39"/>
          <cell r="TH39"/>
          <cell r="TI39"/>
          <cell r="TL39"/>
          <cell r="TM39"/>
          <cell r="TP39"/>
          <cell r="TQ39"/>
          <cell r="TT39"/>
          <cell r="TU39"/>
          <cell r="TX39"/>
          <cell r="TY39"/>
          <cell r="UB39"/>
          <cell r="UC39"/>
          <cell r="UF39"/>
          <cell r="UG39"/>
          <cell r="UJ39"/>
          <cell r="UK39"/>
          <cell r="UN39"/>
          <cell r="UO39"/>
          <cell r="UR39"/>
          <cell r="US39"/>
          <cell r="UV39"/>
          <cell r="UW39"/>
          <cell r="UZ39"/>
          <cell r="VA39"/>
          <cell r="VD39"/>
          <cell r="VE39"/>
          <cell r="VH39"/>
          <cell r="VI39"/>
          <cell r="VL39"/>
          <cell r="VM39"/>
          <cell r="VP39"/>
          <cell r="VQ39"/>
          <cell r="VT39"/>
          <cell r="VU39"/>
        </row>
        <row r="40">
          <cell r="A40"/>
          <cell r="I40"/>
          <cell r="J40"/>
          <cell r="GA40"/>
          <cell r="GB40"/>
          <cell r="GE40"/>
          <cell r="GF40"/>
          <cell r="GI40"/>
          <cell r="GJ40"/>
          <cell r="GM40"/>
          <cell r="GN40"/>
          <cell r="GQ40"/>
          <cell r="GR40"/>
          <cell r="GU40"/>
          <cell r="GV40"/>
          <cell r="GY40"/>
          <cell r="GZ40"/>
          <cell r="HC40"/>
          <cell r="HD40"/>
          <cell r="HG40"/>
          <cell r="HH40"/>
          <cell r="HK40"/>
          <cell r="HL40"/>
          <cell r="HO40"/>
          <cell r="HP40"/>
          <cell r="HS40"/>
          <cell r="HT40"/>
          <cell r="HW40"/>
          <cell r="HX40"/>
          <cell r="IA40"/>
          <cell r="IB40"/>
          <cell r="IE40"/>
          <cell r="IF40"/>
          <cell r="II40"/>
          <cell r="IJ40"/>
          <cell r="IM40"/>
          <cell r="IN40"/>
          <cell r="IQ40"/>
          <cell r="IR40"/>
          <cell r="IU40"/>
          <cell r="IV40"/>
          <cell r="IY40"/>
          <cell r="IZ40"/>
          <cell r="JC40"/>
          <cell r="JD40"/>
          <cell r="JG40"/>
          <cell r="JH40"/>
          <cell r="JK40"/>
          <cell r="JL40"/>
          <cell r="JO40"/>
          <cell r="JP40"/>
          <cell r="JS40"/>
          <cell r="JT40"/>
          <cell r="JW40"/>
          <cell r="JX40"/>
          <cell r="KA40"/>
          <cell r="KB40"/>
          <cell r="KE40"/>
          <cell r="KF40"/>
          <cell r="KI40"/>
          <cell r="KJ40"/>
          <cell r="KM40"/>
          <cell r="KN40"/>
          <cell r="KQ40"/>
          <cell r="KR40"/>
          <cell r="KU40"/>
          <cell r="KV40"/>
          <cell r="KY40"/>
          <cell r="KZ40"/>
          <cell r="LC40"/>
          <cell r="LD40"/>
          <cell r="LG40"/>
          <cell r="LH40"/>
          <cell r="LK40"/>
          <cell r="LL40"/>
          <cell r="LO40"/>
          <cell r="LP40"/>
          <cell r="LS40"/>
          <cell r="LT40"/>
          <cell r="LW40"/>
          <cell r="LX40"/>
          <cell r="MA40"/>
          <cell r="MB40"/>
          <cell r="ME40"/>
          <cell r="MF40"/>
          <cell r="MI40"/>
          <cell r="MJ40"/>
          <cell r="MM40"/>
          <cell r="MN40"/>
          <cell r="MQ40"/>
          <cell r="MR40"/>
          <cell r="MU40"/>
          <cell r="MV40"/>
          <cell r="MY40"/>
          <cell r="MZ40"/>
          <cell r="NC40"/>
          <cell r="ND40"/>
          <cell r="NG40"/>
          <cell r="NH40"/>
          <cell r="NK40"/>
          <cell r="NL40"/>
          <cell r="NO40"/>
          <cell r="NP40"/>
          <cell r="NS40"/>
          <cell r="NT40"/>
          <cell r="NW40"/>
          <cell r="NX40"/>
          <cell r="OA40"/>
          <cell r="OB40"/>
          <cell r="OE40"/>
          <cell r="OF40"/>
          <cell r="OI40"/>
          <cell r="OJ40"/>
          <cell r="OM40"/>
          <cell r="ON40"/>
          <cell r="OQ40"/>
          <cell r="OR40"/>
          <cell r="OU40"/>
          <cell r="OV40"/>
          <cell r="OY40"/>
          <cell r="OZ40"/>
          <cell r="PC40"/>
          <cell r="PD40"/>
          <cell r="PG40"/>
          <cell r="PH40"/>
          <cell r="PK40"/>
          <cell r="PL40"/>
          <cell r="PO40"/>
          <cell r="PP40"/>
          <cell r="PS40"/>
          <cell r="PT40"/>
          <cell r="PW40"/>
          <cell r="PX40"/>
          <cell r="QA40"/>
          <cell r="QB40"/>
          <cell r="QE40"/>
          <cell r="QF40"/>
          <cell r="QI40"/>
          <cell r="QJ40"/>
          <cell r="QR40"/>
          <cell r="QS40"/>
          <cell r="QV40"/>
          <cell r="QW40"/>
          <cell r="QZ40"/>
          <cell r="RA40"/>
          <cell r="RD40"/>
          <cell r="RE40"/>
          <cell r="RH40"/>
          <cell r="RI40"/>
          <cell r="RL40"/>
          <cell r="RM40"/>
          <cell r="RP40"/>
          <cell r="RQ40"/>
          <cell r="RT40"/>
          <cell r="RU40"/>
          <cell r="RX40"/>
          <cell r="RY40"/>
          <cell r="SB40"/>
          <cell r="SC40"/>
          <cell r="SF40"/>
          <cell r="SG40"/>
          <cell r="SJ40"/>
          <cell r="SK40"/>
          <cell r="SN40"/>
          <cell r="SO40"/>
          <cell r="SR40"/>
          <cell r="SS40"/>
          <cell r="SV40"/>
          <cell r="SW40"/>
          <cell r="SZ40"/>
          <cell r="TA40"/>
          <cell r="TD40"/>
          <cell r="TE40"/>
          <cell r="TH40"/>
          <cell r="TI40"/>
          <cell r="TL40"/>
          <cell r="TM40"/>
          <cell r="TP40"/>
          <cell r="TQ40"/>
          <cell r="TT40"/>
          <cell r="TU40"/>
          <cell r="TX40"/>
          <cell r="TY40"/>
          <cell r="UB40"/>
          <cell r="UC40"/>
          <cell r="UF40"/>
          <cell r="UG40"/>
          <cell r="UJ40"/>
          <cell r="UK40"/>
          <cell r="UN40"/>
          <cell r="UO40"/>
          <cell r="UR40"/>
          <cell r="US40"/>
          <cell r="UV40"/>
          <cell r="UW40"/>
          <cell r="UZ40"/>
          <cell r="VA40"/>
          <cell r="VD40"/>
          <cell r="VE40"/>
          <cell r="VH40"/>
          <cell r="VI40"/>
          <cell r="VL40"/>
          <cell r="VM40"/>
          <cell r="VP40"/>
          <cell r="VQ40"/>
          <cell r="VT40"/>
          <cell r="VU40"/>
        </row>
        <row r="41">
          <cell r="A41"/>
          <cell r="GB41"/>
          <cell r="GF41"/>
          <cell r="GJ41"/>
          <cell r="GN41"/>
          <cell r="GR41"/>
          <cell r="GV41"/>
          <cell r="GZ41"/>
          <cell r="HD41"/>
          <cell r="HH41"/>
          <cell r="HL41"/>
          <cell r="HP41"/>
          <cell r="HT41"/>
          <cell r="HX41"/>
          <cell r="IB41"/>
          <cell r="IF41"/>
          <cell r="IJ41"/>
          <cell r="IN41"/>
          <cell r="IR41"/>
          <cell r="IV41"/>
          <cell r="IZ41"/>
          <cell r="JD41"/>
          <cell r="JH41"/>
          <cell r="JL41"/>
          <cell r="JP41"/>
          <cell r="JT41"/>
          <cell r="JX41"/>
          <cell r="KB41"/>
          <cell r="KF41"/>
          <cell r="KJ41"/>
          <cell r="KN41"/>
          <cell r="KR41"/>
          <cell r="KV41"/>
          <cell r="KZ41"/>
          <cell r="LD41"/>
          <cell r="LH41"/>
          <cell r="LL41"/>
          <cell r="LP41"/>
          <cell r="LT41"/>
          <cell r="LX41"/>
          <cell r="MB41"/>
          <cell r="MF41"/>
          <cell r="MJ41"/>
          <cell r="MN41"/>
          <cell r="MR41"/>
          <cell r="MV41"/>
          <cell r="MZ41"/>
          <cell r="ND41"/>
          <cell r="NH41"/>
          <cell r="NL41"/>
          <cell r="NP41"/>
          <cell r="NT41"/>
          <cell r="NX41"/>
          <cell r="OB41"/>
          <cell r="OF41"/>
          <cell r="OJ41"/>
          <cell r="ON41"/>
          <cell r="OR41"/>
          <cell r="OV41"/>
          <cell r="OZ41"/>
          <cell r="PD41"/>
          <cell r="PH41"/>
          <cell r="PL41"/>
          <cell r="PP41"/>
          <cell r="PT41"/>
          <cell r="PX41"/>
          <cell r="QB41"/>
          <cell r="QF41"/>
          <cell r="QJ41"/>
        </row>
        <row r="42">
          <cell r="A42"/>
          <cell r="GB42"/>
          <cell r="GF42"/>
          <cell r="GJ42"/>
          <cell r="GN42"/>
          <cell r="GR42"/>
          <cell r="GV42"/>
          <cell r="GZ42"/>
          <cell r="HD42"/>
          <cell r="HH42"/>
          <cell r="HL42"/>
          <cell r="HP42"/>
          <cell r="HT42"/>
          <cell r="HX42"/>
          <cell r="IB42"/>
          <cell r="IF42"/>
          <cell r="IJ42"/>
          <cell r="IN42"/>
          <cell r="IR42"/>
          <cell r="IV42"/>
          <cell r="IZ42"/>
          <cell r="JD42"/>
          <cell r="JH42"/>
          <cell r="JL42"/>
          <cell r="JP42"/>
          <cell r="JT42"/>
          <cell r="JX42"/>
          <cell r="KB42"/>
          <cell r="KF42"/>
          <cell r="KJ42"/>
          <cell r="KN42"/>
          <cell r="KR42"/>
          <cell r="KV42"/>
          <cell r="KZ42"/>
          <cell r="LD42"/>
          <cell r="LH42"/>
          <cell r="LL42"/>
          <cell r="LP42"/>
          <cell r="LT42"/>
          <cell r="LX42"/>
          <cell r="MB42"/>
          <cell r="MF42"/>
          <cell r="MJ42"/>
          <cell r="MN42"/>
          <cell r="MR42"/>
          <cell r="MV42"/>
          <cell r="MZ42"/>
          <cell r="ND42"/>
          <cell r="NH42"/>
          <cell r="NL42"/>
          <cell r="NP42"/>
          <cell r="NT42"/>
          <cell r="NX42"/>
          <cell r="OB42"/>
          <cell r="OF42"/>
          <cell r="OJ42"/>
          <cell r="ON42"/>
          <cell r="OR42"/>
          <cell r="OV42"/>
          <cell r="OZ42"/>
          <cell r="PD42"/>
          <cell r="PH42"/>
          <cell r="PL42"/>
          <cell r="PP42"/>
          <cell r="PT42"/>
          <cell r="PX42"/>
          <cell r="QB42"/>
          <cell r="QF42"/>
          <cell r="QJ42"/>
        </row>
        <row r="43">
          <cell r="A43"/>
        </row>
        <row r="44">
          <cell r="A44"/>
        </row>
        <row r="45">
          <cell r="A45"/>
        </row>
        <row r="46">
          <cell r="A46"/>
        </row>
        <row r="47">
          <cell r="A47"/>
        </row>
        <row r="48">
          <cell r="A48"/>
        </row>
        <row r="49">
          <cell r="A49"/>
        </row>
        <row r="50">
          <cell r="A50"/>
        </row>
        <row r="51">
          <cell r="A51"/>
        </row>
        <row r="52">
          <cell r="A52"/>
        </row>
        <row r="53">
          <cell r="A53"/>
        </row>
        <row r="54">
          <cell r="A54"/>
        </row>
        <row r="55">
          <cell r="A55"/>
        </row>
        <row r="56">
          <cell r="A56"/>
        </row>
        <row r="57">
          <cell r="A57"/>
        </row>
        <row r="58">
          <cell r="A58"/>
        </row>
        <row r="59">
          <cell r="A59"/>
        </row>
        <row r="60">
          <cell r="A60"/>
        </row>
        <row r="61">
          <cell r="A61"/>
        </row>
        <row r="62">
          <cell r="A62"/>
        </row>
        <row r="63">
          <cell r="A63"/>
        </row>
        <row r="64">
          <cell r="A64"/>
        </row>
        <row r="65">
          <cell r="A65"/>
        </row>
        <row r="66">
          <cell r="A66"/>
        </row>
        <row r="67">
          <cell r="A67"/>
        </row>
        <row r="68">
          <cell r="A68"/>
        </row>
        <row r="69">
          <cell r="A69"/>
        </row>
        <row r="70">
          <cell r="A70"/>
        </row>
        <row r="71">
          <cell r="A71"/>
        </row>
        <row r="72">
          <cell r="A72"/>
        </row>
        <row r="73">
          <cell r="A73"/>
        </row>
        <row r="74">
          <cell r="A74"/>
        </row>
        <row r="75">
          <cell r="A75"/>
        </row>
        <row r="76">
          <cell r="A76"/>
        </row>
        <row r="77">
          <cell r="A77"/>
        </row>
        <row r="78">
          <cell r="A78"/>
        </row>
        <row r="79">
          <cell r="A79"/>
        </row>
        <row r="80">
          <cell r="A80"/>
        </row>
        <row r="81">
          <cell r="A81"/>
        </row>
        <row r="82">
          <cell r="A82"/>
        </row>
        <row r="83">
          <cell r="A83"/>
        </row>
        <row r="84">
          <cell r="A84"/>
        </row>
        <row r="85">
          <cell r="A85"/>
        </row>
        <row r="86">
          <cell r="A86"/>
        </row>
        <row r="87">
          <cell r="A87"/>
        </row>
        <row r="88">
          <cell r="A88"/>
        </row>
        <row r="89">
          <cell r="A89"/>
        </row>
        <row r="90">
          <cell r="A90"/>
        </row>
        <row r="91">
          <cell r="A91"/>
        </row>
        <row r="92">
          <cell r="A92"/>
        </row>
        <row r="93">
          <cell r="A93"/>
        </row>
        <row r="94">
          <cell r="A94"/>
        </row>
        <row r="95">
          <cell r="A95"/>
        </row>
        <row r="96">
          <cell r="A96"/>
        </row>
        <row r="97">
          <cell r="A97"/>
        </row>
        <row r="98">
          <cell r="A98"/>
        </row>
        <row r="99">
          <cell r="A99"/>
        </row>
        <row r="100">
          <cell r="A100"/>
        </row>
        <row r="101">
          <cell r="A101"/>
        </row>
        <row r="102">
          <cell r="A102"/>
        </row>
        <row r="103">
          <cell r="A103"/>
        </row>
        <row r="104">
          <cell r="A104"/>
        </row>
        <row r="105">
          <cell r="A105"/>
        </row>
        <row r="106">
          <cell r="A106"/>
        </row>
        <row r="107">
          <cell r="A107"/>
        </row>
        <row r="108">
          <cell r="A108"/>
        </row>
        <row r="109">
          <cell r="A109"/>
        </row>
        <row r="110">
          <cell r="A110"/>
        </row>
        <row r="111">
          <cell r="A111"/>
        </row>
        <row r="112">
          <cell r="A112"/>
        </row>
        <row r="113">
          <cell r="A113"/>
        </row>
        <row r="114">
          <cell r="A114"/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53EA7-19F7-4EE9-991E-2F926097416A}">
  <sheetPr codeName="Sheet1"/>
  <dimension ref="A1:BU44"/>
  <sheetViews>
    <sheetView showGridLines="0" tabSelected="1" zoomScale="85" zoomScaleNormal="85" workbookViewId="0">
      <pane xSplit="7" ySplit="1" topLeftCell="H11" activePane="bottomRight" state="frozen"/>
      <selection pane="topRight" activeCell="H1" sqref="H1"/>
      <selection pane="bottomLeft" activeCell="A4" sqref="A4"/>
      <selection pane="bottomRight" activeCell="P23" sqref="P23"/>
    </sheetView>
  </sheetViews>
  <sheetFormatPr defaultColWidth="8.6640625" defaultRowHeight="14.4" outlineLevelCol="1" x14ac:dyDescent="0.3"/>
  <cols>
    <col min="1" max="1" width="13.6640625" hidden="1" customWidth="1" outlineLevel="1"/>
    <col min="2" max="2" width="29.44140625" hidden="1" customWidth="1" outlineLevel="1"/>
    <col min="3" max="3" width="9.109375" hidden="1" customWidth="1" outlineLevel="1"/>
    <col min="4" max="4" width="9.44140625" hidden="1" customWidth="1" outlineLevel="1"/>
    <col min="5" max="5" width="10" hidden="1" customWidth="1" outlineLevel="1"/>
    <col min="6" max="6" width="12.44140625" customWidth="1" collapsed="1"/>
    <col min="7" max="7" width="25" customWidth="1"/>
    <col min="8" max="8" width="15.5546875" customWidth="1"/>
    <col min="9" max="9" width="9.88671875" hidden="1" customWidth="1" outlineLevel="1"/>
    <col min="10" max="10" width="17.109375" hidden="1" customWidth="1" outlineLevel="1"/>
    <col min="11" max="11" width="9.5546875" hidden="1" customWidth="1" outlineLevel="1"/>
    <col min="12" max="12" width="6.88671875" hidden="1" customWidth="1" outlineLevel="1"/>
    <col min="13" max="13" width="8.33203125" hidden="1" customWidth="1" outlineLevel="1"/>
    <col min="14" max="14" width="6.6640625" hidden="1" customWidth="1" outlineLevel="1"/>
    <col min="15" max="15" width="9.109375" hidden="1" customWidth="1" outlineLevel="1"/>
    <col min="16" max="16" width="8.33203125" style="64" customWidth="1" collapsed="1"/>
    <col min="17" max="17" width="8.109375" style="64" hidden="1" customWidth="1" outlineLevel="1"/>
    <col min="18" max="18" width="8.109375" customWidth="1" collapsed="1"/>
    <col min="19" max="19" width="11.5546875" customWidth="1"/>
    <col min="20" max="20" width="9.88671875" hidden="1" customWidth="1" outlineLevel="1"/>
    <col min="21" max="21" width="10" style="66" customWidth="1" collapsed="1"/>
    <col min="22" max="22" width="10.109375" style="66" customWidth="1"/>
    <col min="23" max="23" width="10.6640625" hidden="1" customWidth="1" outlineLevel="1"/>
    <col min="24" max="24" width="10.5546875" customWidth="1" collapsed="1"/>
    <col min="25" max="28" width="10.109375" customWidth="1"/>
    <col min="29" max="29" width="14.109375" customWidth="1"/>
    <col min="30" max="30" width="11.5546875" customWidth="1"/>
    <col min="31" max="31" width="14.44140625" bestFit="1" customWidth="1"/>
    <col min="32" max="32" width="13.6640625" customWidth="1"/>
    <col min="33" max="33" width="14.109375" customWidth="1"/>
    <col min="34" max="34" width="10.109375" customWidth="1"/>
    <col min="38" max="72" width="11" hidden="1" customWidth="1" outlineLevel="1"/>
    <col min="73" max="73" width="8.6640625" collapsed="1"/>
  </cols>
  <sheetData>
    <row r="1" spans="1:72" ht="57.75" customHeight="1" thickBot="1" x14ac:dyDescent="0.35">
      <c r="A1" s="1" t="s">
        <v>0</v>
      </c>
      <c r="B1" s="2" t="s">
        <v>121</v>
      </c>
      <c r="C1" s="2" t="s">
        <v>2</v>
      </c>
      <c r="D1" s="2" t="s">
        <v>3</v>
      </c>
      <c r="E1" s="2" t="s">
        <v>4</v>
      </c>
      <c r="F1" s="2" t="s">
        <v>1</v>
      </c>
      <c r="G1" s="2" t="s">
        <v>5</v>
      </c>
      <c r="H1" s="2" t="s">
        <v>6</v>
      </c>
      <c r="I1" s="2" t="s">
        <v>7</v>
      </c>
      <c r="J1" s="3" t="s">
        <v>8</v>
      </c>
      <c r="K1" s="2" t="s">
        <v>9</v>
      </c>
      <c r="L1" s="3" t="s">
        <v>10</v>
      </c>
      <c r="M1" s="3" t="s">
        <v>11</v>
      </c>
      <c r="N1" s="3" t="s">
        <v>12</v>
      </c>
      <c r="O1" s="3" t="s">
        <v>122</v>
      </c>
      <c r="P1" s="3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18</v>
      </c>
      <c r="V1" s="3" t="s">
        <v>19</v>
      </c>
      <c r="W1" s="4" t="s">
        <v>20</v>
      </c>
      <c r="X1" s="3" t="s">
        <v>21</v>
      </c>
      <c r="Y1" s="3" t="s">
        <v>19</v>
      </c>
      <c r="Z1" s="3" t="s">
        <v>22</v>
      </c>
      <c r="AA1" s="3" t="s">
        <v>23</v>
      </c>
      <c r="AB1" s="3" t="s">
        <v>24</v>
      </c>
      <c r="AC1" s="3" t="s">
        <v>25</v>
      </c>
      <c r="AD1" s="3" t="s">
        <v>26</v>
      </c>
      <c r="AE1" s="3" t="s">
        <v>27</v>
      </c>
      <c r="AF1" s="3" t="s">
        <v>28</v>
      </c>
      <c r="AG1" s="3" t="s">
        <v>29</v>
      </c>
      <c r="AH1" s="5" t="s">
        <v>30</v>
      </c>
    </row>
    <row r="2" spans="1:72" ht="39" customHeight="1" x14ac:dyDescent="0.3">
      <c r="A2" s="6">
        <v>669</v>
      </c>
      <c r="B2" s="7" t="s">
        <v>31</v>
      </c>
      <c r="C2" s="8">
        <v>1181</v>
      </c>
      <c r="D2" s="9">
        <v>21980</v>
      </c>
      <c r="E2" s="9" t="s">
        <v>32</v>
      </c>
      <c r="F2" s="9">
        <v>1763</v>
      </c>
      <c r="G2" s="7" t="s">
        <v>33</v>
      </c>
      <c r="H2" s="10">
        <v>790089</v>
      </c>
      <c r="I2" s="10">
        <f t="shared" ref="I2:I38" si="0">ROUND(H2*18%,0)</f>
        <v>142216</v>
      </c>
      <c r="J2" s="10">
        <f t="shared" ref="J2:J38" si="1">+H2+I2</f>
        <v>932305</v>
      </c>
      <c r="K2" s="10">
        <f t="shared" ref="K2:K38" si="2">ROUND((H2+I2)*2%,0)</f>
        <v>18646</v>
      </c>
      <c r="L2" s="11">
        <f t="shared" ref="L2:L38" si="3">H2*0.1%</f>
        <v>790.08900000000006</v>
      </c>
      <c r="M2" s="11">
        <f t="shared" ref="M2:M38" si="4">H2*2.25%*118%</f>
        <v>20976.862949999999</v>
      </c>
      <c r="N2" s="12">
        <f t="shared" ref="N2:N38" si="5">H2*2.25%*2%</f>
        <v>355.54005000000001</v>
      </c>
      <c r="O2" s="11">
        <f t="shared" ref="O2:O38" si="6">M2-N2</f>
        <v>20621.322899999999</v>
      </c>
      <c r="P2" s="11">
        <f t="shared" ref="P2:P38" si="7">ROUND(O2+L2,0)</f>
        <v>21411</v>
      </c>
      <c r="Q2" s="13">
        <v>0.02</v>
      </c>
      <c r="R2" s="11">
        <f t="shared" ref="R2:R38" si="8">ROUND(H2*Q2,0)</f>
        <v>15802</v>
      </c>
      <c r="S2" s="23">
        <f t="shared" ref="S2:S24" ca="1" si="9">ROUND(H2*117.65%-R2+Z2,0)</f>
        <v>913738</v>
      </c>
      <c r="T2" s="11">
        <f t="shared" ref="T2:T38" si="10">ROUND(H2*25%,0)</f>
        <v>197522</v>
      </c>
      <c r="U2" s="14">
        <v>197522</v>
      </c>
      <c r="V2" s="11" t="s">
        <v>34</v>
      </c>
      <c r="W2" s="11">
        <f t="shared" ref="W2:W38" si="11">ROUND(H2*92.65%-R2,0)</f>
        <v>716215</v>
      </c>
      <c r="X2" s="11">
        <v>716216</v>
      </c>
      <c r="Y2" s="11" t="s">
        <v>35</v>
      </c>
      <c r="Z2" s="11">
        <f t="shared" ref="Z2:Z38" ca="1" si="12">IF(OR(Y2="",Y2=0),H2*0.0118*CEILING((TODAY()-DATE(2026,8,22))/7,1),IF(DATE(VALUE(RIGHT(Y2,4)),VALUE(MID(Y2,4,2)),VALUE(LEFT(Y2,2)))&lt;=DATE(2026,8,24),0,H2*0.0118*CEILING((DATE(VALUE(RIGHT(Y2,4)),VALUE(MID(Y2,4,2)),VALUE(LEFT(Y2,2)))-DATE(2026,8,22))/7,1)))</f>
        <v>0</v>
      </c>
      <c r="AA2" s="11"/>
      <c r="AB2" s="11"/>
      <c r="AC2" s="11">
        <f t="shared" ref="AC2:AC38" si="13">U2+X2+AA2</f>
        <v>913738</v>
      </c>
      <c r="AD2" s="15">
        <f t="shared" ref="AD2:AD38" ca="1" si="14">S2-AC2</f>
        <v>0</v>
      </c>
      <c r="AE2" s="16" t="str">
        <f t="shared" ref="AE2:AE39" ca="1" si="15">IF(AD2="","",IF(AD2&lt;=5,"SETTLED","OUTSTANDING"))</f>
        <v>SETTLED</v>
      </c>
      <c r="AF2" s="16" t="s">
        <v>36</v>
      </c>
      <c r="AG2" s="17">
        <v>1800003271</v>
      </c>
      <c r="AH2" s="18" t="s">
        <v>34</v>
      </c>
      <c r="AL2" t="e">
        <f>IF(#REF!="",1,IF(#REF!="(blank)",--(A2=""),IF(#REF!="(nonblank)",--(A2&lt;&gt;""),--ISNUMBER(SEARCH(#REF!,A2)))))</f>
        <v>#REF!</v>
      </c>
      <c r="AM2" t="e">
        <f>IF(#REF!="",1,IF(#REF!="(blank)",--(B2=""),IF(#REF!="(nonblank)",--(B2&lt;&gt;""),--ISNUMBER(SEARCH(#REF!,B2)))))</f>
        <v>#REF!</v>
      </c>
      <c r="AN2" t="e">
        <f>IF(#REF!="",1,IF(#REF!="(blank)",--(C2=""),IF(#REF!="(nonblank)",--(C2&lt;&gt;""),--ISNUMBER(SEARCH(#REF!,C2)))))</f>
        <v>#REF!</v>
      </c>
      <c r="AO2" t="e">
        <f>IF(#REF!="",1,IF(#REF!="(blank)",--(D2=""),IF(#REF!="(nonblank)",--(D2&lt;&gt;""),--ISNUMBER(SEARCH(#REF!,D2)))))</f>
        <v>#REF!</v>
      </c>
      <c r="AP2" t="e">
        <f>IF(#REF!="",1,IF(#REF!="(blank)",--(E2=""),IF(#REF!="(nonblank)",--(E2&lt;&gt;""),--ISNUMBER(SEARCH(#REF!,E2)))))</f>
        <v>#REF!</v>
      </c>
      <c r="AQ2" t="e">
        <f>IF(#REF!="",1,IF(#REF!="(blank)",--(F2=""),IF(#REF!="(nonblank)",--(F2&lt;&gt;""),--ISNUMBER(SEARCH(#REF!,F2)))))</f>
        <v>#REF!</v>
      </c>
      <c r="AR2" t="e">
        <f>IF(#REF!="",1,IF(#REF!="(blank)",--(G2=""),IF(#REF!="(nonblank)",--(G2&lt;&gt;""),--ISNUMBER(SEARCH(#REF!,G2)))))</f>
        <v>#REF!</v>
      </c>
      <c r="AS2" t="e">
        <f>IF(#REF!="",1,IF(#REF!="(blank)",--(H2=""),IF(#REF!="(nonblank)",--(H2&lt;&gt;""),--ISNUMBER(SEARCH(#REF!,H2)))))</f>
        <v>#REF!</v>
      </c>
      <c r="AT2" t="e">
        <f>IF(#REF!="",1,IF(#REF!="(blank)",--(I2=""),IF(#REF!="(nonblank)",--(I2&lt;&gt;""),--ISNUMBER(SEARCH(#REF!,I2)))))</f>
        <v>#REF!</v>
      </c>
      <c r="AU2" t="e">
        <f>IF(#REF!="",1,IF(#REF!="(blank)",--(J2=""),IF(#REF!="(nonblank)",--(J2&lt;&gt;""),--ISNUMBER(SEARCH(#REF!,J2)))))</f>
        <v>#REF!</v>
      </c>
      <c r="AV2" t="e">
        <f>IF(#REF!="",1,IF(#REF!="(blank)",--(K2=""),IF(#REF!="(nonblank)",--(K2&lt;&gt;""),--ISNUMBER(SEARCH(#REF!,K2)))))</f>
        <v>#REF!</v>
      </c>
      <c r="AW2" t="e">
        <f>IF(#REF!="",1,IF(#REF!="(blank)",--(L2=""),IF(#REF!="(nonblank)",--(L2&lt;&gt;""),--ISNUMBER(SEARCH(#REF!,L2)))))</f>
        <v>#REF!</v>
      </c>
      <c r="AX2" t="e">
        <f>IF(#REF!="",1,IF(#REF!="(blank)",--(M2=""),IF(#REF!="(nonblank)",--(M2&lt;&gt;""),--ISNUMBER(SEARCH(#REF!,M2)))))</f>
        <v>#REF!</v>
      </c>
      <c r="AY2" t="e">
        <f>IF(#REF!="",1,IF(#REF!="(blank)",--(N2=""),IF(#REF!="(nonblank)",--(N2&lt;&gt;""),--ISNUMBER(SEARCH(#REF!,N2)))))</f>
        <v>#REF!</v>
      </c>
      <c r="AZ2" t="e">
        <f>IF(#REF!="",1,IF(#REF!="(blank)",--(O2=""),IF(#REF!="(nonblank)",--(O2&lt;&gt;""),--ISNUMBER(SEARCH(#REF!,O2)))))</f>
        <v>#REF!</v>
      </c>
      <c r="BA2" t="e">
        <f>IF(#REF!="",1,IF(#REF!="(blank)",--(P2=""),IF(#REF!="(nonblank)",--(P2&lt;&gt;""),--ISNUMBER(SEARCH(#REF!,P2)))))</f>
        <v>#REF!</v>
      </c>
      <c r="BB2" t="e">
        <f>IF(#REF!="",1,IF(#REF!="(blank)",--(Q2=""),IF(#REF!="(nonblank)",--(Q2&lt;&gt;""),--ISNUMBER(SEARCH(#REF!,Q2)))))</f>
        <v>#REF!</v>
      </c>
      <c r="BC2" t="e">
        <f>IF(#REF!="",1,IF(#REF!="(blank)",--(R2=""),IF(#REF!="(nonblank)",--(R2&lt;&gt;""),--ISNUMBER(SEARCH(#REF!,R2)))))</f>
        <v>#REF!</v>
      </c>
      <c r="BD2" t="e">
        <f>IF(#REF!="",1,IF(#REF!="(blank)",--(S2=""),IF(#REF!="(nonblank)",--(S2&lt;&gt;""),--ISNUMBER(SEARCH(#REF!,S2)))))</f>
        <v>#REF!</v>
      </c>
      <c r="BE2" t="e">
        <f>IF(#REF!="",1,IF(#REF!="(blank)",--(T2=""),IF(#REF!="(nonblank)",--(T2&lt;&gt;""),--ISNUMBER(SEARCH(#REF!,T2)))))</f>
        <v>#REF!</v>
      </c>
      <c r="BF2" t="e">
        <f>IF(#REF!="",1,IF(#REF!="(blank)",--(U2=""),IF(#REF!="(nonblank)",--(U2&lt;&gt;""),--ISNUMBER(SEARCH(#REF!,U2)))))</f>
        <v>#REF!</v>
      </c>
      <c r="BG2" t="e">
        <f>IF(#REF!="",1,IF(#REF!="(blank)",--(V2=""),IF(#REF!="(nonblank)",--(V2&lt;&gt;""),--ISNUMBER(SEARCH(#REF!,V2)))))</f>
        <v>#REF!</v>
      </c>
      <c r="BH2" t="e">
        <f>IF(#REF!="",1,IF(#REF!="(blank)",--(W2=""),IF(#REF!="(nonblank)",--(W2&lt;&gt;""),--ISNUMBER(SEARCH(#REF!,W2)))))</f>
        <v>#REF!</v>
      </c>
      <c r="BI2" t="e">
        <f>IF(#REF!="",1,IF(#REF!="(blank)",--(X2=""),IF(#REF!="(nonblank)",--(X2&lt;&gt;""),--ISNUMBER(SEARCH(#REF!,X2)))))</f>
        <v>#REF!</v>
      </c>
      <c r="BJ2" t="e">
        <f>IF(#REF!="",1,IF(#REF!="(blank)",--(Y2=""),IF(#REF!="(nonblank)",--(Y2&lt;&gt;""),--ISNUMBER(SEARCH(#REF!,Y2)))))</f>
        <v>#REF!</v>
      </c>
      <c r="BK2" t="e">
        <f>IF(#REF!="",1,IF(#REF!="(blank)",--(Z2=""),IF(#REF!="(nonblank)",--(Z2&lt;&gt;""),--ISNUMBER(SEARCH(#REF!,Z2)))))</f>
        <v>#REF!</v>
      </c>
      <c r="BL2" t="e">
        <f>IF(#REF!="",1,IF(#REF!="(blank)",--(AA2=""),IF(#REF!="(nonblank)",--(AA2&lt;&gt;""),--ISNUMBER(SEARCH(#REF!,AA2)))))</f>
        <v>#REF!</v>
      </c>
      <c r="BM2" t="e">
        <f>IF(#REF!="",1,IF(#REF!="(blank)",--(AB2=""),IF(#REF!="(nonblank)",--(AB2&lt;&gt;""),--ISNUMBER(SEARCH(#REF!,AB2)))))</f>
        <v>#REF!</v>
      </c>
      <c r="BN2" t="e">
        <f>IF(#REF!="",1,IF(#REF!="(blank)",--(AC2=""),IF(#REF!="(nonblank)",--(AC2&lt;&gt;""),--ISNUMBER(SEARCH(#REF!,AC2)))))</f>
        <v>#REF!</v>
      </c>
      <c r="BO2" t="e">
        <f>IF(#REF!="",1,IF(#REF!="(blank)",--(AD2=""),IF(#REF!="(nonblank)",--(AD2&lt;&gt;""),--ISNUMBER(SEARCH(#REF!,AD2)))))</f>
        <v>#REF!</v>
      </c>
      <c r="BP2" t="e">
        <f>IF(#REF!="",1,IF(#REF!="(blank)",--(AE2=""),IF(#REF!="(nonblank)",--(AE2&lt;&gt;""),--ISNUMBER(SEARCH(#REF!,AE2)))))</f>
        <v>#REF!</v>
      </c>
      <c r="BQ2" t="e">
        <f>IF(#REF!="",1,IF(#REF!="(blank)",--(AF2=""),IF(#REF!="(nonblank)",--(AF2&lt;&gt;""),--ISNUMBER(SEARCH(#REF!,AF2)))))</f>
        <v>#REF!</v>
      </c>
      <c r="BR2" t="e">
        <f>IF(#REF!="",1,IF(#REF!="(blank)",--(AG2=""),IF(#REF!="(nonblank)",--(AG2&lt;&gt;""),--ISNUMBER(SEARCH(#REF!,AG2)))))</f>
        <v>#REF!</v>
      </c>
      <c r="BS2" t="e">
        <f>IF(#REF!="",1,IF(#REF!="(blank)",--(AH2=""),IF(#REF!="(nonblank)",--(AH2&lt;&gt;""),--ISNUMBER(SEARCH(#REF!,AH2)))))</f>
        <v>#REF!</v>
      </c>
      <c r="BT2">
        <f t="shared" ref="BT2:BT38" si="16">IF(COUNTIF($AL2:$BS2,0)&gt;0,0,1)</f>
        <v>1</v>
      </c>
    </row>
    <row r="3" spans="1:72" ht="14.25" customHeight="1" x14ac:dyDescent="0.3">
      <c r="A3" s="19">
        <v>270</v>
      </c>
      <c r="B3" s="20" t="s">
        <v>37</v>
      </c>
      <c r="C3" s="21">
        <v>580</v>
      </c>
      <c r="D3" s="22">
        <v>21977</v>
      </c>
      <c r="E3" s="22" t="s">
        <v>38</v>
      </c>
      <c r="F3" s="22">
        <v>1874</v>
      </c>
      <c r="G3" s="20" t="s">
        <v>39</v>
      </c>
      <c r="H3" s="23">
        <v>156600</v>
      </c>
      <c r="I3" s="23">
        <f t="shared" si="0"/>
        <v>28188</v>
      </c>
      <c r="J3" s="23">
        <f t="shared" si="1"/>
        <v>184788</v>
      </c>
      <c r="K3" s="23">
        <f t="shared" si="2"/>
        <v>3696</v>
      </c>
      <c r="L3" s="24">
        <f t="shared" si="3"/>
        <v>156.6</v>
      </c>
      <c r="M3" s="24">
        <f t="shared" si="4"/>
        <v>4157.7299999999996</v>
      </c>
      <c r="N3" s="25">
        <f t="shared" si="5"/>
        <v>70.47</v>
      </c>
      <c r="O3" s="24">
        <f t="shared" si="6"/>
        <v>4087.2599999999998</v>
      </c>
      <c r="P3" s="24">
        <f t="shared" si="7"/>
        <v>4244</v>
      </c>
      <c r="Q3" s="26">
        <v>0</v>
      </c>
      <c r="R3" s="24">
        <f t="shared" si="8"/>
        <v>0</v>
      </c>
      <c r="S3" s="23">
        <f t="shared" ca="1" si="9"/>
        <v>184240</v>
      </c>
      <c r="T3" s="24">
        <f t="shared" si="10"/>
        <v>39150</v>
      </c>
      <c r="U3" s="27">
        <f>+T3</f>
        <v>39150</v>
      </c>
      <c r="V3" s="24" t="s">
        <v>40</v>
      </c>
      <c r="W3" s="24">
        <f t="shared" si="11"/>
        <v>145090</v>
      </c>
      <c r="X3" s="24">
        <v>145090</v>
      </c>
      <c r="Y3" s="24" t="s">
        <v>34</v>
      </c>
      <c r="Z3" s="24">
        <f t="shared" ca="1" si="12"/>
        <v>0</v>
      </c>
      <c r="AA3" s="24"/>
      <c r="AB3" s="24"/>
      <c r="AC3" s="28">
        <f t="shared" si="13"/>
        <v>184240</v>
      </c>
      <c r="AD3" s="28">
        <f t="shared" ca="1" si="14"/>
        <v>0</v>
      </c>
      <c r="AE3" s="24" t="str">
        <f t="shared" ca="1" si="15"/>
        <v>SETTLED</v>
      </c>
      <c r="AF3" s="24" t="s">
        <v>41</v>
      </c>
      <c r="AG3" s="29">
        <v>1800003302</v>
      </c>
      <c r="AH3" s="30" t="s">
        <v>42</v>
      </c>
      <c r="AL3" t="e">
        <f>IF(#REF!="",1,IF(#REF!="(blank)",--(A3=""),IF(#REF!="(nonblank)",--(A3&lt;&gt;""),--ISNUMBER(SEARCH(#REF!,A3)))))</f>
        <v>#REF!</v>
      </c>
      <c r="AM3" t="e">
        <f>IF(#REF!="",1,IF(#REF!="(blank)",--(B3=""),IF(#REF!="(nonblank)",--(B3&lt;&gt;""),--ISNUMBER(SEARCH(#REF!,B3)))))</f>
        <v>#REF!</v>
      </c>
      <c r="AN3" t="e">
        <f>IF(#REF!="",1,IF(#REF!="(blank)",--(C3=""),IF(#REF!="(nonblank)",--(C3&lt;&gt;""),--ISNUMBER(SEARCH(#REF!,C3)))))</f>
        <v>#REF!</v>
      </c>
      <c r="AO3" t="e">
        <f>IF(#REF!="",1,IF(#REF!="(blank)",--(D3=""),IF(#REF!="(nonblank)",--(D3&lt;&gt;""),--ISNUMBER(SEARCH(#REF!,D3)))))</f>
        <v>#REF!</v>
      </c>
      <c r="AP3" t="e">
        <f>IF(#REF!="",1,IF(#REF!="(blank)",--(E3=""),IF(#REF!="(nonblank)",--(E3&lt;&gt;""),--ISNUMBER(SEARCH(#REF!,E3)))))</f>
        <v>#REF!</v>
      </c>
      <c r="AQ3" t="e">
        <f>IF(#REF!="",1,IF(#REF!="(blank)",--(F3=""),IF(#REF!="(nonblank)",--(F3&lt;&gt;""),--ISNUMBER(SEARCH(#REF!,F3)))))</f>
        <v>#REF!</v>
      </c>
      <c r="AR3" t="e">
        <f>IF(#REF!="",1,IF(#REF!="(blank)",--(G3=""),IF(#REF!="(nonblank)",--(G3&lt;&gt;""),--ISNUMBER(SEARCH(#REF!,G3)))))</f>
        <v>#REF!</v>
      </c>
      <c r="AS3" t="e">
        <f>IF(#REF!="",1,IF(#REF!="(blank)",--(H3=""),IF(#REF!="(nonblank)",--(H3&lt;&gt;""),--ISNUMBER(SEARCH(#REF!,H3)))))</f>
        <v>#REF!</v>
      </c>
      <c r="AT3" t="e">
        <f>IF(#REF!="",1,IF(#REF!="(blank)",--(I3=""),IF(#REF!="(nonblank)",--(I3&lt;&gt;""),--ISNUMBER(SEARCH(#REF!,I3)))))</f>
        <v>#REF!</v>
      </c>
      <c r="AU3" t="e">
        <f>IF(#REF!="",1,IF(#REF!="(blank)",--(J3=""),IF(#REF!="(nonblank)",--(J3&lt;&gt;""),--ISNUMBER(SEARCH(#REF!,J3)))))</f>
        <v>#REF!</v>
      </c>
      <c r="AV3" t="e">
        <f>IF(#REF!="",1,IF(#REF!="(blank)",--(K3=""),IF(#REF!="(nonblank)",--(K3&lt;&gt;""),--ISNUMBER(SEARCH(#REF!,K3)))))</f>
        <v>#REF!</v>
      </c>
      <c r="AW3" t="e">
        <f>IF(#REF!="",1,IF(#REF!="(blank)",--(L3=""),IF(#REF!="(nonblank)",--(L3&lt;&gt;""),--ISNUMBER(SEARCH(#REF!,L3)))))</f>
        <v>#REF!</v>
      </c>
      <c r="AX3" t="e">
        <f>IF(#REF!="",1,IF(#REF!="(blank)",--(M3=""),IF(#REF!="(nonblank)",--(M3&lt;&gt;""),--ISNUMBER(SEARCH(#REF!,M3)))))</f>
        <v>#REF!</v>
      </c>
      <c r="AY3" t="e">
        <f>IF(#REF!="",1,IF(#REF!="(blank)",--(N3=""),IF(#REF!="(nonblank)",--(N3&lt;&gt;""),--ISNUMBER(SEARCH(#REF!,N3)))))</f>
        <v>#REF!</v>
      </c>
      <c r="AZ3" t="e">
        <f>IF(#REF!="",1,IF(#REF!="(blank)",--(O3=""),IF(#REF!="(nonblank)",--(O3&lt;&gt;""),--ISNUMBER(SEARCH(#REF!,O3)))))</f>
        <v>#REF!</v>
      </c>
      <c r="BA3" t="e">
        <f>IF(#REF!="",1,IF(#REF!="(blank)",--(P3=""),IF(#REF!="(nonblank)",--(P3&lt;&gt;""),--ISNUMBER(SEARCH(#REF!,P3)))))</f>
        <v>#REF!</v>
      </c>
      <c r="BB3" t="e">
        <f>IF(#REF!="",1,IF(#REF!="(blank)",--(Q3=""),IF(#REF!="(nonblank)",--(Q3&lt;&gt;""),--ISNUMBER(SEARCH(#REF!,Q3)))))</f>
        <v>#REF!</v>
      </c>
      <c r="BC3" t="e">
        <f>IF(#REF!="",1,IF(#REF!="(blank)",--(R3=""),IF(#REF!="(nonblank)",--(R3&lt;&gt;""),--ISNUMBER(SEARCH(#REF!,R3)))))</f>
        <v>#REF!</v>
      </c>
      <c r="BD3" t="e">
        <f>IF(#REF!="",1,IF(#REF!="(blank)",--(S3=""),IF(#REF!="(nonblank)",--(S3&lt;&gt;""),--ISNUMBER(SEARCH(#REF!,S3)))))</f>
        <v>#REF!</v>
      </c>
      <c r="BE3" t="e">
        <f>IF(#REF!="",1,IF(#REF!="(blank)",--(T3=""),IF(#REF!="(nonblank)",--(T3&lt;&gt;""),--ISNUMBER(SEARCH(#REF!,T3)))))</f>
        <v>#REF!</v>
      </c>
      <c r="BF3" t="e">
        <f>IF(#REF!="",1,IF(#REF!="(blank)",--(U3=""),IF(#REF!="(nonblank)",--(U3&lt;&gt;""),--ISNUMBER(SEARCH(#REF!,U3)))))</f>
        <v>#REF!</v>
      </c>
      <c r="BG3" t="e">
        <f>IF(#REF!="",1,IF(#REF!="(blank)",--(V3=""),IF(#REF!="(nonblank)",--(V3&lt;&gt;""),--ISNUMBER(SEARCH(#REF!,V3)))))</f>
        <v>#REF!</v>
      </c>
      <c r="BH3" t="e">
        <f>IF(#REF!="",1,IF(#REF!="(blank)",--(W3=""),IF(#REF!="(nonblank)",--(W3&lt;&gt;""),--ISNUMBER(SEARCH(#REF!,W3)))))</f>
        <v>#REF!</v>
      </c>
      <c r="BI3" t="e">
        <f>IF(#REF!="",1,IF(#REF!="(blank)",--(X3=""),IF(#REF!="(nonblank)",--(X3&lt;&gt;""),--ISNUMBER(SEARCH(#REF!,X3)))))</f>
        <v>#REF!</v>
      </c>
      <c r="BJ3" t="e">
        <f>IF(#REF!="",1,IF(#REF!="(blank)",--(Y3=""),IF(#REF!="(nonblank)",--(Y3&lt;&gt;""),--ISNUMBER(SEARCH(#REF!,Y3)))))</f>
        <v>#REF!</v>
      </c>
      <c r="BK3" t="e">
        <f>IF(#REF!="",1,IF(#REF!="(blank)",--(Z3=""),IF(#REF!="(nonblank)",--(Z3&lt;&gt;""),--ISNUMBER(SEARCH(#REF!,Z3)))))</f>
        <v>#REF!</v>
      </c>
      <c r="BL3" t="e">
        <f>IF(#REF!="",1,IF(#REF!="(blank)",--(AA3=""),IF(#REF!="(nonblank)",--(AA3&lt;&gt;""),--ISNUMBER(SEARCH(#REF!,AA3)))))</f>
        <v>#REF!</v>
      </c>
      <c r="BM3" t="e">
        <f>IF(#REF!="",1,IF(#REF!="(blank)",--(AB3=""),IF(#REF!="(nonblank)",--(AB3&lt;&gt;""),--ISNUMBER(SEARCH(#REF!,AB3)))))</f>
        <v>#REF!</v>
      </c>
      <c r="BN3" t="e">
        <f>IF(#REF!="",1,IF(#REF!="(blank)",--(AC3=""),IF(#REF!="(nonblank)",--(AC3&lt;&gt;""),--ISNUMBER(SEARCH(#REF!,AC3)))))</f>
        <v>#REF!</v>
      </c>
      <c r="BO3" t="e">
        <f>IF(#REF!="",1,IF(#REF!="(blank)",--(AD3=""),IF(#REF!="(nonblank)",--(AD3&lt;&gt;""),--ISNUMBER(SEARCH(#REF!,AD3)))))</f>
        <v>#REF!</v>
      </c>
      <c r="BP3" t="e">
        <f>IF(#REF!="",1,IF(#REF!="(blank)",--(AE3=""),IF(#REF!="(nonblank)",--(AE3&lt;&gt;""),--ISNUMBER(SEARCH(#REF!,AE3)))))</f>
        <v>#REF!</v>
      </c>
      <c r="BQ3" t="e">
        <f>IF(#REF!="",1,IF(#REF!="(blank)",--(AF3=""),IF(#REF!="(nonblank)",--(AF3&lt;&gt;""),--ISNUMBER(SEARCH(#REF!,AF3)))))</f>
        <v>#REF!</v>
      </c>
      <c r="BR3" t="e">
        <f>IF(#REF!="",1,IF(#REF!="(blank)",--(AG3=""),IF(#REF!="(nonblank)",--(AG3&lt;&gt;""),--ISNUMBER(SEARCH(#REF!,AG3)))))</f>
        <v>#REF!</v>
      </c>
      <c r="BS3" t="e">
        <f>IF(#REF!="",1,IF(#REF!="(blank)",--(AH3=""),IF(#REF!="(nonblank)",--(AH3&lt;&gt;""),--ISNUMBER(SEARCH(#REF!,AH3)))))</f>
        <v>#REF!</v>
      </c>
      <c r="BT3">
        <f t="shared" si="16"/>
        <v>1</v>
      </c>
    </row>
    <row r="4" spans="1:72" ht="26.25" customHeight="1" x14ac:dyDescent="0.3">
      <c r="A4" s="31">
        <v>28</v>
      </c>
      <c r="B4" s="32" t="s">
        <v>43</v>
      </c>
      <c r="C4" s="33">
        <v>1456</v>
      </c>
      <c r="D4" s="34">
        <v>21977</v>
      </c>
      <c r="E4" s="34" t="s">
        <v>32</v>
      </c>
      <c r="F4" s="34">
        <v>1875</v>
      </c>
      <c r="G4" s="32" t="s">
        <v>44</v>
      </c>
      <c r="H4" s="35">
        <v>40768</v>
      </c>
      <c r="I4" s="35">
        <f t="shared" si="0"/>
        <v>7338</v>
      </c>
      <c r="J4" s="35">
        <f t="shared" si="1"/>
        <v>48106</v>
      </c>
      <c r="K4" s="35">
        <f t="shared" si="2"/>
        <v>962</v>
      </c>
      <c r="L4" s="36">
        <f t="shared" si="3"/>
        <v>40.768000000000001</v>
      </c>
      <c r="M4" s="36">
        <f t="shared" si="4"/>
        <v>1082.3904</v>
      </c>
      <c r="N4" s="37">
        <f t="shared" si="5"/>
        <v>18.345600000000001</v>
      </c>
      <c r="O4" s="36">
        <f t="shared" si="6"/>
        <v>1064.0447999999999</v>
      </c>
      <c r="P4" s="36">
        <f t="shared" si="7"/>
        <v>1105</v>
      </c>
      <c r="Q4" s="38">
        <v>0</v>
      </c>
      <c r="R4" s="36">
        <f t="shared" si="8"/>
        <v>0</v>
      </c>
      <c r="S4" s="23">
        <f t="shared" ca="1" si="9"/>
        <v>47964</v>
      </c>
      <c r="T4" s="36">
        <f t="shared" si="10"/>
        <v>10192</v>
      </c>
      <c r="U4" s="39">
        <v>10192</v>
      </c>
      <c r="V4" s="36" t="s">
        <v>45</v>
      </c>
      <c r="W4" s="36">
        <f t="shared" si="11"/>
        <v>37772</v>
      </c>
      <c r="X4" s="36">
        <f>+W4+R4</f>
        <v>37772</v>
      </c>
      <c r="Y4" s="36" t="s">
        <v>46</v>
      </c>
      <c r="Z4" s="36">
        <f t="shared" ca="1" si="12"/>
        <v>0</v>
      </c>
      <c r="AA4" s="36"/>
      <c r="AB4" s="36"/>
      <c r="AC4" s="11">
        <f t="shared" si="13"/>
        <v>47964</v>
      </c>
      <c r="AD4" s="15">
        <f t="shared" ca="1" si="14"/>
        <v>0</v>
      </c>
      <c r="AE4" s="16" t="str">
        <f t="shared" ca="1" si="15"/>
        <v>SETTLED</v>
      </c>
      <c r="AF4" s="16" t="s">
        <v>47</v>
      </c>
      <c r="AG4" s="17">
        <v>1800003346</v>
      </c>
      <c r="AH4" s="18" t="s">
        <v>42</v>
      </c>
      <c r="AL4" t="e">
        <f>IF(#REF!="",1,IF(#REF!="(blank)",--(A4=""),IF(#REF!="(nonblank)",--(A4&lt;&gt;""),--ISNUMBER(SEARCH(#REF!,A4)))))</f>
        <v>#REF!</v>
      </c>
      <c r="AM4" t="e">
        <f>IF(#REF!="",1,IF(#REF!="(blank)",--(B4=""),IF(#REF!="(nonblank)",--(B4&lt;&gt;""),--ISNUMBER(SEARCH(#REF!,B4)))))</f>
        <v>#REF!</v>
      </c>
      <c r="AN4" t="e">
        <f>IF(#REF!="",1,IF(#REF!="(blank)",--(C4=""),IF(#REF!="(nonblank)",--(C4&lt;&gt;""),--ISNUMBER(SEARCH(#REF!,C4)))))</f>
        <v>#REF!</v>
      </c>
      <c r="AO4" t="e">
        <f>IF(#REF!="",1,IF(#REF!="(blank)",--(D4=""),IF(#REF!="(nonblank)",--(D4&lt;&gt;""),--ISNUMBER(SEARCH(#REF!,D4)))))</f>
        <v>#REF!</v>
      </c>
      <c r="AP4" t="e">
        <f>IF(#REF!="",1,IF(#REF!="(blank)",--(E4=""),IF(#REF!="(nonblank)",--(E4&lt;&gt;""),--ISNUMBER(SEARCH(#REF!,E4)))))</f>
        <v>#REF!</v>
      </c>
      <c r="AQ4" t="e">
        <f>IF(#REF!="",1,IF(#REF!="(blank)",--(F4=""),IF(#REF!="(nonblank)",--(F4&lt;&gt;""),--ISNUMBER(SEARCH(#REF!,F4)))))</f>
        <v>#REF!</v>
      </c>
      <c r="AR4" t="e">
        <f>IF(#REF!="",1,IF(#REF!="(blank)",--(G4=""),IF(#REF!="(nonblank)",--(G4&lt;&gt;""),--ISNUMBER(SEARCH(#REF!,G4)))))</f>
        <v>#REF!</v>
      </c>
      <c r="AS4" t="e">
        <f>IF(#REF!="",1,IF(#REF!="(blank)",--(H4=""),IF(#REF!="(nonblank)",--(H4&lt;&gt;""),--ISNUMBER(SEARCH(#REF!,H4)))))</f>
        <v>#REF!</v>
      </c>
      <c r="AT4" t="e">
        <f>IF(#REF!="",1,IF(#REF!="(blank)",--(I4=""),IF(#REF!="(nonblank)",--(I4&lt;&gt;""),--ISNUMBER(SEARCH(#REF!,I4)))))</f>
        <v>#REF!</v>
      </c>
      <c r="AU4" t="e">
        <f>IF(#REF!="",1,IF(#REF!="(blank)",--(J4=""),IF(#REF!="(nonblank)",--(J4&lt;&gt;""),--ISNUMBER(SEARCH(#REF!,J4)))))</f>
        <v>#REF!</v>
      </c>
      <c r="AV4" t="e">
        <f>IF(#REF!="",1,IF(#REF!="(blank)",--(K4=""),IF(#REF!="(nonblank)",--(K4&lt;&gt;""),--ISNUMBER(SEARCH(#REF!,K4)))))</f>
        <v>#REF!</v>
      </c>
      <c r="AW4" t="e">
        <f>IF(#REF!="",1,IF(#REF!="(blank)",--(L4=""),IF(#REF!="(nonblank)",--(L4&lt;&gt;""),--ISNUMBER(SEARCH(#REF!,L4)))))</f>
        <v>#REF!</v>
      </c>
      <c r="AX4" t="e">
        <f>IF(#REF!="",1,IF(#REF!="(blank)",--(M4=""),IF(#REF!="(nonblank)",--(M4&lt;&gt;""),--ISNUMBER(SEARCH(#REF!,M4)))))</f>
        <v>#REF!</v>
      </c>
      <c r="AY4" t="e">
        <f>IF(#REF!="",1,IF(#REF!="(blank)",--(N4=""),IF(#REF!="(nonblank)",--(N4&lt;&gt;""),--ISNUMBER(SEARCH(#REF!,N4)))))</f>
        <v>#REF!</v>
      </c>
      <c r="AZ4" t="e">
        <f>IF(#REF!="",1,IF(#REF!="(blank)",--(O4=""),IF(#REF!="(nonblank)",--(O4&lt;&gt;""),--ISNUMBER(SEARCH(#REF!,O4)))))</f>
        <v>#REF!</v>
      </c>
      <c r="BA4" t="e">
        <f>IF(#REF!="",1,IF(#REF!="(blank)",--(P4=""),IF(#REF!="(nonblank)",--(P4&lt;&gt;""),--ISNUMBER(SEARCH(#REF!,P4)))))</f>
        <v>#REF!</v>
      </c>
      <c r="BB4" t="e">
        <f>IF(#REF!="",1,IF(#REF!="(blank)",--(Q4=""),IF(#REF!="(nonblank)",--(Q4&lt;&gt;""),--ISNUMBER(SEARCH(#REF!,Q4)))))</f>
        <v>#REF!</v>
      </c>
      <c r="BC4" t="e">
        <f>IF(#REF!="",1,IF(#REF!="(blank)",--(R4=""),IF(#REF!="(nonblank)",--(R4&lt;&gt;""),--ISNUMBER(SEARCH(#REF!,R4)))))</f>
        <v>#REF!</v>
      </c>
      <c r="BD4" t="e">
        <f>IF(#REF!="",1,IF(#REF!="(blank)",--(S4=""),IF(#REF!="(nonblank)",--(S4&lt;&gt;""),--ISNUMBER(SEARCH(#REF!,S4)))))</f>
        <v>#REF!</v>
      </c>
      <c r="BE4" t="e">
        <f>IF(#REF!="",1,IF(#REF!="(blank)",--(T4=""),IF(#REF!="(nonblank)",--(T4&lt;&gt;""),--ISNUMBER(SEARCH(#REF!,T4)))))</f>
        <v>#REF!</v>
      </c>
      <c r="BF4" t="e">
        <f>IF(#REF!="",1,IF(#REF!="(blank)",--(U4=""),IF(#REF!="(nonblank)",--(U4&lt;&gt;""),--ISNUMBER(SEARCH(#REF!,U4)))))</f>
        <v>#REF!</v>
      </c>
      <c r="BG4" t="e">
        <f>IF(#REF!="",1,IF(#REF!="(blank)",--(V4=""),IF(#REF!="(nonblank)",--(V4&lt;&gt;""),--ISNUMBER(SEARCH(#REF!,V4)))))</f>
        <v>#REF!</v>
      </c>
      <c r="BH4" t="e">
        <f>IF(#REF!="",1,IF(#REF!="(blank)",--(W4=""),IF(#REF!="(nonblank)",--(W4&lt;&gt;""),--ISNUMBER(SEARCH(#REF!,W4)))))</f>
        <v>#REF!</v>
      </c>
      <c r="BI4" t="e">
        <f>IF(#REF!="",1,IF(#REF!="(blank)",--(X4=""),IF(#REF!="(nonblank)",--(X4&lt;&gt;""),--ISNUMBER(SEARCH(#REF!,X4)))))</f>
        <v>#REF!</v>
      </c>
      <c r="BJ4" t="e">
        <f>IF(#REF!="",1,IF(#REF!="(blank)",--(Y4=""),IF(#REF!="(nonblank)",--(Y4&lt;&gt;""),--ISNUMBER(SEARCH(#REF!,Y4)))))</f>
        <v>#REF!</v>
      </c>
      <c r="BK4" t="e">
        <f>IF(#REF!="",1,IF(#REF!="(blank)",--(Z4=""),IF(#REF!="(nonblank)",--(Z4&lt;&gt;""),--ISNUMBER(SEARCH(#REF!,Z4)))))</f>
        <v>#REF!</v>
      </c>
      <c r="BL4" t="e">
        <f>IF(#REF!="",1,IF(#REF!="(blank)",--(AA4=""),IF(#REF!="(nonblank)",--(AA4&lt;&gt;""),--ISNUMBER(SEARCH(#REF!,AA4)))))</f>
        <v>#REF!</v>
      </c>
      <c r="BM4" t="e">
        <f>IF(#REF!="",1,IF(#REF!="(blank)",--(AB4=""),IF(#REF!="(nonblank)",--(AB4&lt;&gt;""),--ISNUMBER(SEARCH(#REF!,AB4)))))</f>
        <v>#REF!</v>
      </c>
      <c r="BN4" t="e">
        <f>IF(#REF!="",1,IF(#REF!="(blank)",--(AC4=""),IF(#REF!="(nonblank)",--(AC4&lt;&gt;""),--ISNUMBER(SEARCH(#REF!,AC4)))))</f>
        <v>#REF!</v>
      </c>
      <c r="BO4" t="e">
        <f>IF(#REF!="",1,IF(#REF!="(blank)",--(AD4=""),IF(#REF!="(nonblank)",--(AD4&lt;&gt;""),--ISNUMBER(SEARCH(#REF!,AD4)))))</f>
        <v>#REF!</v>
      </c>
      <c r="BP4" t="e">
        <f>IF(#REF!="",1,IF(#REF!="(blank)",--(AE4=""),IF(#REF!="(nonblank)",--(AE4&lt;&gt;""),--ISNUMBER(SEARCH(#REF!,AE4)))))</f>
        <v>#REF!</v>
      </c>
      <c r="BQ4" t="e">
        <f>IF(#REF!="",1,IF(#REF!="(blank)",--(AF4=""),IF(#REF!="(nonblank)",--(AF4&lt;&gt;""),--ISNUMBER(SEARCH(#REF!,AF4)))))</f>
        <v>#REF!</v>
      </c>
      <c r="BR4" t="e">
        <f>IF(#REF!="",1,IF(#REF!="(blank)",--(AG4=""),IF(#REF!="(nonblank)",--(AG4&lt;&gt;""),--ISNUMBER(SEARCH(#REF!,AG4)))))</f>
        <v>#REF!</v>
      </c>
      <c r="BS4" t="e">
        <f>IF(#REF!="",1,IF(#REF!="(blank)",--(AH4=""),IF(#REF!="(nonblank)",--(AH4&lt;&gt;""),--ISNUMBER(SEARCH(#REF!,AH4)))))</f>
        <v>#REF!</v>
      </c>
      <c r="BT4">
        <f t="shared" si="16"/>
        <v>1</v>
      </c>
    </row>
    <row r="5" spans="1:72" ht="39" customHeight="1" x14ac:dyDescent="0.3">
      <c r="A5" s="19">
        <v>3000</v>
      </c>
      <c r="B5" s="20" t="s">
        <v>48</v>
      </c>
      <c r="C5" s="21">
        <v>66</v>
      </c>
      <c r="D5" s="22">
        <v>21977</v>
      </c>
      <c r="E5" s="22" t="s">
        <v>32</v>
      </c>
      <c r="F5" s="22">
        <v>1876</v>
      </c>
      <c r="G5" s="20" t="s">
        <v>44</v>
      </c>
      <c r="H5" s="23">
        <v>198000</v>
      </c>
      <c r="I5" s="23">
        <f t="shared" si="0"/>
        <v>35640</v>
      </c>
      <c r="J5" s="23">
        <f t="shared" si="1"/>
        <v>233640</v>
      </c>
      <c r="K5" s="23">
        <f t="shared" si="2"/>
        <v>4673</v>
      </c>
      <c r="L5" s="24">
        <f t="shared" si="3"/>
        <v>198</v>
      </c>
      <c r="M5" s="24">
        <f t="shared" si="4"/>
        <v>5256.9</v>
      </c>
      <c r="N5" s="25">
        <f t="shared" si="5"/>
        <v>89.100000000000009</v>
      </c>
      <c r="O5" s="24">
        <f t="shared" si="6"/>
        <v>5167.7999999999993</v>
      </c>
      <c r="P5" s="24">
        <f t="shared" si="7"/>
        <v>5366</v>
      </c>
      <c r="Q5" s="26">
        <v>0</v>
      </c>
      <c r="R5" s="24">
        <f t="shared" si="8"/>
        <v>0</v>
      </c>
      <c r="S5" s="23">
        <f t="shared" ca="1" si="9"/>
        <v>232947</v>
      </c>
      <c r="T5" s="24">
        <f t="shared" si="10"/>
        <v>49500</v>
      </c>
      <c r="U5" s="27">
        <v>49500</v>
      </c>
      <c r="V5" s="24" t="s">
        <v>45</v>
      </c>
      <c r="W5" s="24">
        <f t="shared" si="11"/>
        <v>183447</v>
      </c>
      <c r="X5" s="24">
        <f>+W5+R5-1</f>
        <v>183446</v>
      </c>
      <c r="Y5" s="24" t="s">
        <v>46</v>
      </c>
      <c r="Z5" s="24">
        <f t="shared" ca="1" si="12"/>
        <v>0</v>
      </c>
      <c r="AA5" s="24"/>
      <c r="AB5" s="24"/>
      <c r="AC5" s="28">
        <f t="shared" si="13"/>
        <v>232946</v>
      </c>
      <c r="AD5" s="28">
        <f t="shared" ca="1" si="14"/>
        <v>1</v>
      </c>
      <c r="AE5" s="24" t="str">
        <f t="shared" ca="1" si="15"/>
        <v>SETTLED</v>
      </c>
      <c r="AF5" s="24" t="s">
        <v>49</v>
      </c>
      <c r="AG5" s="29">
        <v>1800003347</v>
      </c>
      <c r="AH5" s="30" t="s">
        <v>42</v>
      </c>
      <c r="AL5" t="e">
        <f>IF(#REF!="",1,IF(#REF!="(blank)",--(A5=""),IF(#REF!="(nonblank)",--(A5&lt;&gt;""),--ISNUMBER(SEARCH(#REF!,A5)))))</f>
        <v>#REF!</v>
      </c>
      <c r="AM5" t="e">
        <f>IF(#REF!="",1,IF(#REF!="(blank)",--(B5=""),IF(#REF!="(nonblank)",--(B5&lt;&gt;""),--ISNUMBER(SEARCH(#REF!,B5)))))</f>
        <v>#REF!</v>
      </c>
      <c r="AN5" t="e">
        <f>IF(#REF!="",1,IF(#REF!="(blank)",--(C5=""),IF(#REF!="(nonblank)",--(C5&lt;&gt;""),--ISNUMBER(SEARCH(#REF!,C5)))))</f>
        <v>#REF!</v>
      </c>
      <c r="AO5" t="e">
        <f>IF(#REF!="",1,IF(#REF!="(blank)",--(D5=""),IF(#REF!="(nonblank)",--(D5&lt;&gt;""),--ISNUMBER(SEARCH(#REF!,D5)))))</f>
        <v>#REF!</v>
      </c>
      <c r="AP5" t="e">
        <f>IF(#REF!="",1,IF(#REF!="(blank)",--(E5=""),IF(#REF!="(nonblank)",--(E5&lt;&gt;""),--ISNUMBER(SEARCH(#REF!,E5)))))</f>
        <v>#REF!</v>
      </c>
      <c r="AQ5" t="e">
        <f>IF(#REF!="",1,IF(#REF!="(blank)",--(F5=""),IF(#REF!="(nonblank)",--(F5&lt;&gt;""),--ISNUMBER(SEARCH(#REF!,F5)))))</f>
        <v>#REF!</v>
      </c>
      <c r="AR5" t="e">
        <f>IF(#REF!="",1,IF(#REF!="(blank)",--(G5=""),IF(#REF!="(nonblank)",--(G5&lt;&gt;""),--ISNUMBER(SEARCH(#REF!,G5)))))</f>
        <v>#REF!</v>
      </c>
      <c r="AS5" t="e">
        <f>IF(#REF!="",1,IF(#REF!="(blank)",--(H5=""),IF(#REF!="(nonblank)",--(H5&lt;&gt;""),--ISNUMBER(SEARCH(#REF!,H5)))))</f>
        <v>#REF!</v>
      </c>
      <c r="AT5" t="e">
        <f>IF(#REF!="",1,IF(#REF!="(blank)",--(I5=""),IF(#REF!="(nonblank)",--(I5&lt;&gt;""),--ISNUMBER(SEARCH(#REF!,I5)))))</f>
        <v>#REF!</v>
      </c>
      <c r="AU5" t="e">
        <f>IF(#REF!="",1,IF(#REF!="(blank)",--(J5=""),IF(#REF!="(nonblank)",--(J5&lt;&gt;""),--ISNUMBER(SEARCH(#REF!,J5)))))</f>
        <v>#REF!</v>
      </c>
      <c r="AV5" t="e">
        <f>IF(#REF!="",1,IF(#REF!="(blank)",--(K5=""),IF(#REF!="(nonblank)",--(K5&lt;&gt;""),--ISNUMBER(SEARCH(#REF!,K5)))))</f>
        <v>#REF!</v>
      </c>
      <c r="AW5" t="e">
        <f>IF(#REF!="",1,IF(#REF!="(blank)",--(L5=""),IF(#REF!="(nonblank)",--(L5&lt;&gt;""),--ISNUMBER(SEARCH(#REF!,L5)))))</f>
        <v>#REF!</v>
      </c>
      <c r="AX5" t="e">
        <f>IF(#REF!="",1,IF(#REF!="(blank)",--(M5=""),IF(#REF!="(nonblank)",--(M5&lt;&gt;""),--ISNUMBER(SEARCH(#REF!,M5)))))</f>
        <v>#REF!</v>
      </c>
      <c r="AY5" t="e">
        <f>IF(#REF!="",1,IF(#REF!="(blank)",--(N5=""),IF(#REF!="(nonblank)",--(N5&lt;&gt;""),--ISNUMBER(SEARCH(#REF!,N5)))))</f>
        <v>#REF!</v>
      </c>
      <c r="AZ5" t="e">
        <f>IF(#REF!="",1,IF(#REF!="(blank)",--(O5=""),IF(#REF!="(nonblank)",--(O5&lt;&gt;""),--ISNUMBER(SEARCH(#REF!,O5)))))</f>
        <v>#REF!</v>
      </c>
      <c r="BA5" t="e">
        <f>IF(#REF!="",1,IF(#REF!="(blank)",--(P5=""),IF(#REF!="(nonblank)",--(P5&lt;&gt;""),--ISNUMBER(SEARCH(#REF!,P5)))))</f>
        <v>#REF!</v>
      </c>
      <c r="BB5" t="e">
        <f>IF(#REF!="",1,IF(#REF!="(blank)",--(Q5=""),IF(#REF!="(nonblank)",--(Q5&lt;&gt;""),--ISNUMBER(SEARCH(#REF!,Q5)))))</f>
        <v>#REF!</v>
      </c>
      <c r="BC5" t="e">
        <f>IF(#REF!="",1,IF(#REF!="(blank)",--(R5=""),IF(#REF!="(nonblank)",--(R5&lt;&gt;""),--ISNUMBER(SEARCH(#REF!,R5)))))</f>
        <v>#REF!</v>
      </c>
      <c r="BD5" t="e">
        <f>IF(#REF!="",1,IF(#REF!="(blank)",--(S5=""),IF(#REF!="(nonblank)",--(S5&lt;&gt;""),--ISNUMBER(SEARCH(#REF!,S5)))))</f>
        <v>#REF!</v>
      </c>
      <c r="BE5" t="e">
        <f>IF(#REF!="",1,IF(#REF!="(blank)",--(T5=""),IF(#REF!="(nonblank)",--(T5&lt;&gt;""),--ISNUMBER(SEARCH(#REF!,T5)))))</f>
        <v>#REF!</v>
      </c>
      <c r="BF5" t="e">
        <f>IF(#REF!="",1,IF(#REF!="(blank)",--(U5=""),IF(#REF!="(nonblank)",--(U5&lt;&gt;""),--ISNUMBER(SEARCH(#REF!,U5)))))</f>
        <v>#REF!</v>
      </c>
      <c r="BG5" t="e">
        <f>IF(#REF!="",1,IF(#REF!="(blank)",--(V5=""),IF(#REF!="(nonblank)",--(V5&lt;&gt;""),--ISNUMBER(SEARCH(#REF!,V5)))))</f>
        <v>#REF!</v>
      </c>
      <c r="BH5" t="e">
        <f>IF(#REF!="",1,IF(#REF!="(blank)",--(W5=""),IF(#REF!="(nonblank)",--(W5&lt;&gt;""),--ISNUMBER(SEARCH(#REF!,W5)))))</f>
        <v>#REF!</v>
      </c>
      <c r="BI5" t="e">
        <f>IF(#REF!="",1,IF(#REF!="(blank)",--(X5=""),IF(#REF!="(nonblank)",--(X5&lt;&gt;""),--ISNUMBER(SEARCH(#REF!,X5)))))</f>
        <v>#REF!</v>
      </c>
      <c r="BJ5" t="e">
        <f>IF(#REF!="",1,IF(#REF!="(blank)",--(Y5=""),IF(#REF!="(nonblank)",--(Y5&lt;&gt;""),--ISNUMBER(SEARCH(#REF!,Y5)))))</f>
        <v>#REF!</v>
      </c>
      <c r="BK5" t="e">
        <f>IF(#REF!="",1,IF(#REF!="(blank)",--(Z5=""),IF(#REF!="(nonblank)",--(Z5&lt;&gt;""),--ISNUMBER(SEARCH(#REF!,Z5)))))</f>
        <v>#REF!</v>
      </c>
      <c r="BL5" t="e">
        <f>IF(#REF!="",1,IF(#REF!="(blank)",--(AA5=""),IF(#REF!="(nonblank)",--(AA5&lt;&gt;""),--ISNUMBER(SEARCH(#REF!,AA5)))))</f>
        <v>#REF!</v>
      </c>
      <c r="BM5" t="e">
        <f>IF(#REF!="",1,IF(#REF!="(blank)",--(AB5=""),IF(#REF!="(nonblank)",--(AB5&lt;&gt;""),--ISNUMBER(SEARCH(#REF!,AB5)))))</f>
        <v>#REF!</v>
      </c>
      <c r="BN5" t="e">
        <f>IF(#REF!="",1,IF(#REF!="(blank)",--(AC5=""),IF(#REF!="(nonblank)",--(AC5&lt;&gt;""),--ISNUMBER(SEARCH(#REF!,AC5)))))</f>
        <v>#REF!</v>
      </c>
      <c r="BO5" t="e">
        <f>IF(#REF!="",1,IF(#REF!="(blank)",--(AD5=""),IF(#REF!="(nonblank)",--(AD5&lt;&gt;""),--ISNUMBER(SEARCH(#REF!,AD5)))))</f>
        <v>#REF!</v>
      </c>
      <c r="BP5" t="e">
        <f>IF(#REF!="",1,IF(#REF!="(blank)",--(AE5=""),IF(#REF!="(nonblank)",--(AE5&lt;&gt;""),--ISNUMBER(SEARCH(#REF!,AE5)))))</f>
        <v>#REF!</v>
      </c>
      <c r="BQ5" t="e">
        <f>IF(#REF!="",1,IF(#REF!="(blank)",--(AF5=""),IF(#REF!="(nonblank)",--(AF5&lt;&gt;""),--ISNUMBER(SEARCH(#REF!,AF5)))))</f>
        <v>#REF!</v>
      </c>
      <c r="BR5" t="e">
        <f>IF(#REF!="",1,IF(#REF!="(blank)",--(AG5=""),IF(#REF!="(nonblank)",--(AG5&lt;&gt;""),--ISNUMBER(SEARCH(#REF!,AG5)))))</f>
        <v>#REF!</v>
      </c>
      <c r="BS5" t="e">
        <f>IF(#REF!="",1,IF(#REF!="(blank)",--(AH5=""),IF(#REF!="(nonblank)",--(AH5&lt;&gt;""),--ISNUMBER(SEARCH(#REF!,AH5)))))</f>
        <v>#REF!</v>
      </c>
      <c r="BT5">
        <f t="shared" si="16"/>
        <v>1</v>
      </c>
    </row>
    <row r="6" spans="1:72" ht="26.25" customHeight="1" x14ac:dyDescent="0.3">
      <c r="A6" s="31">
        <v>7253</v>
      </c>
      <c r="B6" s="32" t="s">
        <v>50</v>
      </c>
      <c r="C6" s="33">
        <v>227</v>
      </c>
      <c r="D6" s="34">
        <v>21980</v>
      </c>
      <c r="E6" s="34" t="s">
        <v>32</v>
      </c>
      <c r="F6" s="34">
        <v>1923</v>
      </c>
      <c r="G6" s="32" t="s">
        <v>51</v>
      </c>
      <c r="H6" s="35">
        <v>1646431</v>
      </c>
      <c r="I6" s="35">
        <f t="shared" si="0"/>
        <v>296358</v>
      </c>
      <c r="J6" s="35">
        <f t="shared" si="1"/>
        <v>1942789</v>
      </c>
      <c r="K6" s="35">
        <f t="shared" si="2"/>
        <v>38856</v>
      </c>
      <c r="L6" s="36">
        <f t="shared" si="3"/>
        <v>1646.431</v>
      </c>
      <c r="M6" s="36">
        <f t="shared" si="4"/>
        <v>43712.743049999997</v>
      </c>
      <c r="N6" s="37">
        <f t="shared" si="5"/>
        <v>740.89395000000002</v>
      </c>
      <c r="O6" s="36">
        <f t="shared" si="6"/>
        <v>42971.849099999999</v>
      </c>
      <c r="P6" s="36">
        <f t="shared" si="7"/>
        <v>44618</v>
      </c>
      <c r="Q6" s="38">
        <v>0.02</v>
      </c>
      <c r="R6" s="36">
        <f t="shared" si="8"/>
        <v>32929</v>
      </c>
      <c r="S6" s="23">
        <f t="shared" ca="1" si="9"/>
        <v>1904097</v>
      </c>
      <c r="T6" s="36">
        <f t="shared" si="10"/>
        <v>411608</v>
      </c>
      <c r="U6" s="39">
        <f>+T6</f>
        <v>411608</v>
      </c>
      <c r="V6" s="36" t="s">
        <v>52</v>
      </c>
      <c r="W6" s="36">
        <f t="shared" si="11"/>
        <v>1492489</v>
      </c>
      <c r="X6" s="36">
        <v>1492490</v>
      </c>
      <c r="Y6" s="36" t="s">
        <v>34</v>
      </c>
      <c r="Z6" s="36">
        <f t="shared" ca="1" si="12"/>
        <v>0</v>
      </c>
      <c r="AA6" s="36"/>
      <c r="AB6" s="36"/>
      <c r="AC6" s="11">
        <f t="shared" si="13"/>
        <v>1904098</v>
      </c>
      <c r="AD6" s="15">
        <f t="shared" ca="1" si="14"/>
        <v>-1</v>
      </c>
      <c r="AE6" s="16" t="str">
        <f t="shared" ca="1" si="15"/>
        <v>SETTLED</v>
      </c>
      <c r="AF6" s="16" t="s">
        <v>53</v>
      </c>
      <c r="AG6" s="17">
        <v>1800003315</v>
      </c>
      <c r="AH6" s="18" t="s">
        <v>42</v>
      </c>
      <c r="AL6" t="e">
        <f>IF(#REF!="",1,IF(#REF!="(blank)",--(A6=""),IF(#REF!="(nonblank)",--(A6&lt;&gt;""),--ISNUMBER(SEARCH(#REF!,A6)))))</f>
        <v>#REF!</v>
      </c>
      <c r="AM6" t="e">
        <f>IF(#REF!="",1,IF(#REF!="(blank)",--(B6=""),IF(#REF!="(nonblank)",--(B6&lt;&gt;""),--ISNUMBER(SEARCH(#REF!,B6)))))</f>
        <v>#REF!</v>
      </c>
      <c r="AN6" t="e">
        <f>IF(#REF!="",1,IF(#REF!="(blank)",--(C6=""),IF(#REF!="(nonblank)",--(C6&lt;&gt;""),--ISNUMBER(SEARCH(#REF!,C6)))))</f>
        <v>#REF!</v>
      </c>
      <c r="AO6" t="e">
        <f>IF(#REF!="",1,IF(#REF!="(blank)",--(D6=""),IF(#REF!="(nonblank)",--(D6&lt;&gt;""),--ISNUMBER(SEARCH(#REF!,D6)))))</f>
        <v>#REF!</v>
      </c>
      <c r="AP6" t="e">
        <f>IF(#REF!="",1,IF(#REF!="(blank)",--(E6=""),IF(#REF!="(nonblank)",--(E6&lt;&gt;""),--ISNUMBER(SEARCH(#REF!,E6)))))</f>
        <v>#REF!</v>
      </c>
      <c r="AQ6" t="e">
        <f>IF(#REF!="",1,IF(#REF!="(blank)",--(F6=""),IF(#REF!="(nonblank)",--(F6&lt;&gt;""),--ISNUMBER(SEARCH(#REF!,F6)))))</f>
        <v>#REF!</v>
      </c>
      <c r="AR6" t="e">
        <f>IF(#REF!="",1,IF(#REF!="(blank)",--(G6=""),IF(#REF!="(nonblank)",--(G6&lt;&gt;""),--ISNUMBER(SEARCH(#REF!,G6)))))</f>
        <v>#REF!</v>
      </c>
      <c r="AS6" t="e">
        <f>IF(#REF!="",1,IF(#REF!="(blank)",--(H6=""),IF(#REF!="(nonblank)",--(H6&lt;&gt;""),--ISNUMBER(SEARCH(#REF!,H6)))))</f>
        <v>#REF!</v>
      </c>
      <c r="AT6" t="e">
        <f>IF(#REF!="",1,IF(#REF!="(blank)",--(I6=""),IF(#REF!="(nonblank)",--(I6&lt;&gt;""),--ISNUMBER(SEARCH(#REF!,I6)))))</f>
        <v>#REF!</v>
      </c>
      <c r="AU6" t="e">
        <f>IF(#REF!="",1,IF(#REF!="(blank)",--(J6=""),IF(#REF!="(nonblank)",--(J6&lt;&gt;""),--ISNUMBER(SEARCH(#REF!,J6)))))</f>
        <v>#REF!</v>
      </c>
      <c r="AV6" t="e">
        <f>IF(#REF!="",1,IF(#REF!="(blank)",--(K6=""),IF(#REF!="(nonblank)",--(K6&lt;&gt;""),--ISNUMBER(SEARCH(#REF!,K6)))))</f>
        <v>#REF!</v>
      </c>
      <c r="AW6" t="e">
        <f>IF(#REF!="",1,IF(#REF!="(blank)",--(L6=""),IF(#REF!="(nonblank)",--(L6&lt;&gt;""),--ISNUMBER(SEARCH(#REF!,L6)))))</f>
        <v>#REF!</v>
      </c>
      <c r="AX6" t="e">
        <f>IF(#REF!="",1,IF(#REF!="(blank)",--(M6=""),IF(#REF!="(nonblank)",--(M6&lt;&gt;""),--ISNUMBER(SEARCH(#REF!,M6)))))</f>
        <v>#REF!</v>
      </c>
      <c r="AY6" t="e">
        <f>IF(#REF!="",1,IF(#REF!="(blank)",--(N6=""),IF(#REF!="(nonblank)",--(N6&lt;&gt;""),--ISNUMBER(SEARCH(#REF!,N6)))))</f>
        <v>#REF!</v>
      </c>
      <c r="AZ6" t="e">
        <f>IF(#REF!="",1,IF(#REF!="(blank)",--(O6=""),IF(#REF!="(nonblank)",--(O6&lt;&gt;""),--ISNUMBER(SEARCH(#REF!,O6)))))</f>
        <v>#REF!</v>
      </c>
      <c r="BA6" t="e">
        <f>IF(#REF!="",1,IF(#REF!="(blank)",--(P6=""),IF(#REF!="(nonblank)",--(P6&lt;&gt;""),--ISNUMBER(SEARCH(#REF!,P6)))))</f>
        <v>#REF!</v>
      </c>
      <c r="BB6" t="e">
        <f>IF(#REF!="",1,IF(#REF!="(blank)",--(Q6=""),IF(#REF!="(nonblank)",--(Q6&lt;&gt;""),--ISNUMBER(SEARCH(#REF!,Q6)))))</f>
        <v>#REF!</v>
      </c>
      <c r="BC6" t="e">
        <f>IF(#REF!="",1,IF(#REF!="(blank)",--(R6=""),IF(#REF!="(nonblank)",--(R6&lt;&gt;""),--ISNUMBER(SEARCH(#REF!,R6)))))</f>
        <v>#REF!</v>
      </c>
      <c r="BD6" t="e">
        <f>IF(#REF!="",1,IF(#REF!="(blank)",--(S6=""),IF(#REF!="(nonblank)",--(S6&lt;&gt;""),--ISNUMBER(SEARCH(#REF!,S6)))))</f>
        <v>#REF!</v>
      </c>
      <c r="BE6" t="e">
        <f>IF(#REF!="",1,IF(#REF!="(blank)",--(T6=""),IF(#REF!="(nonblank)",--(T6&lt;&gt;""),--ISNUMBER(SEARCH(#REF!,T6)))))</f>
        <v>#REF!</v>
      </c>
      <c r="BF6" t="e">
        <f>IF(#REF!="",1,IF(#REF!="(blank)",--(U6=""),IF(#REF!="(nonblank)",--(U6&lt;&gt;""),--ISNUMBER(SEARCH(#REF!,U6)))))</f>
        <v>#REF!</v>
      </c>
      <c r="BG6" t="e">
        <f>IF(#REF!="",1,IF(#REF!="(blank)",--(V6=""),IF(#REF!="(nonblank)",--(V6&lt;&gt;""),--ISNUMBER(SEARCH(#REF!,V6)))))</f>
        <v>#REF!</v>
      </c>
      <c r="BH6" t="e">
        <f>IF(#REF!="",1,IF(#REF!="(blank)",--(W6=""),IF(#REF!="(nonblank)",--(W6&lt;&gt;""),--ISNUMBER(SEARCH(#REF!,W6)))))</f>
        <v>#REF!</v>
      </c>
      <c r="BI6" t="e">
        <f>IF(#REF!="",1,IF(#REF!="(blank)",--(X6=""),IF(#REF!="(nonblank)",--(X6&lt;&gt;""),--ISNUMBER(SEARCH(#REF!,X6)))))</f>
        <v>#REF!</v>
      </c>
      <c r="BJ6" t="e">
        <f>IF(#REF!="",1,IF(#REF!="(blank)",--(Y6=""),IF(#REF!="(nonblank)",--(Y6&lt;&gt;""),--ISNUMBER(SEARCH(#REF!,Y6)))))</f>
        <v>#REF!</v>
      </c>
      <c r="BK6" t="e">
        <f>IF(#REF!="",1,IF(#REF!="(blank)",--(Z6=""),IF(#REF!="(nonblank)",--(Z6&lt;&gt;""),--ISNUMBER(SEARCH(#REF!,Z6)))))</f>
        <v>#REF!</v>
      </c>
      <c r="BL6" t="e">
        <f>IF(#REF!="",1,IF(#REF!="(blank)",--(AA6=""),IF(#REF!="(nonblank)",--(AA6&lt;&gt;""),--ISNUMBER(SEARCH(#REF!,AA6)))))</f>
        <v>#REF!</v>
      </c>
      <c r="BM6" t="e">
        <f>IF(#REF!="",1,IF(#REF!="(blank)",--(AB6=""),IF(#REF!="(nonblank)",--(AB6&lt;&gt;""),--ISNUMBER(SEARCH(#REF!,AB6)))))</f>
        <v>#REF!</v>
      </c>
      <c r="BN6" t="e">
        <f>IF(#REF!="",1,IF(#REF!="(blank)",--(AC6=""),IF(#REF!="(nonblank)",--(AC6&lt;&gt;""),--ISNUMBER(SEARCH(#REF!,AC6)))))</f>
        <v>#REF!</v>
      </c>
      <c r="BO6" t="e">
        <f>IF(#REF!="",1,IF(#REF!="(blank)",--(AD6=""),IF(#REF!="(nonblank)",--(AD6&lt;&gt;""),--ISNUMBER(SEARCH(#REF!,AD6)))))</f>
        <v>#REF!</v>
      </c>
      <c r="BP6" t="e">
        <f>IF(#REF!="",1,IF(#REF!="(blank)",--(AE6=""),IF(#REF!="(nonblank)",--(AE6&lt;&gt;""),--ISNUMBER(SEARCH(#REF!,AE6)))))</f>
        <v>#REF!</v>
      </c>
      <c r="BQ6" t="e">
        <f>IF(#REF!="",1,IF(#REF!="(blank)",--(AF6=""),IF(#REF!="(nonblank)",--(AF6&lt;&gt;""),--ISNUMBER(SEARCH(#REF!,AF6)))))</f>
        <v>#REF!</v>
      </c>
      <c r="BR6" t="e">
        <f>IF(#REF!="",1,IF(#REF!="(blank)",--(AG6=""),IF(#REF!="(nonblank)",--(AG6&lt;&gt;""),--ISNUMBER(SEARCH(#REF!,AG6)))))</f>
        <v>#REF!</v>
      </c>
      <c r="BS6" t="e">
        <f>IF(#REF!="",1,IF(#REF!="(blank)",--(AH6=""),IF(#REF!="(nonblank)",--(AH6&lt;&gt;""),--ISNUMBER(SEARCH(#REF!,AH6)))))</f>
        <v>#REF!</v>
      </c>
      <c r="BT6">
        <f t="shared" si="16"/>
        <v>1</v>
      </c>
    </row>
    <row r="7" spans="1:72" ht="14.25" customHeight="1" x14ac:dyDescent="0.3">
      <c r="A7" s="19">
        <v>1</v>
      </c>
      <c r="B7" s="20" t="s">
        <v>54</v>
      </c>
      <c r="C7" s="21">
        <v>2787314</v>
      </c>
      <c r="D7" s="22">
        <v>21977</v>
      </c>
      <c r="E7" s="22" t="s">
        <v>38</v>
      </c>
      <c r="F7" s="22">
        <v>1976</v>
      </c>
      <c r="G7" s="20" t="s">
        <v>55</v>
      </c>
      <c r="H7" s="23">
        <v>2787314</v>
      </c>
      <c r="I7" s="23">
        <f t="shared" si="0"/>
        <v>501717</v>
      </c>
      <c r="J7" s="23">
        <f t="shared" si="1"/>
        <v>3289031</v>
      </c>
      <c r="K7" s="23">
        <f t="shared" si="2"/>
        <v>65781</v>
      </c>
      <c r="L7" s="24">
        <f t="shared" si="3"/>
        <v>2787.3139999999999</v>
      </c>
      <c r="M7" s="24">
        <f t="shared" si="4"/>
        <v>74003.186699999991</v>
      </c>
      <c r="N7" s="25">
        <f t="shared" si="5"/>
        <v>1254.2912999999999</v>
      </c>
      <c r="O7" s="24">
        <f t="shared" si="6"/>
        <v>72748.895399999994</v>
      </c>
      <c r="P7" s="24">
        <f t="shared" si="7"/>
        <v>75536</v>
      </c>
      <c r="Q7" s="26">
        <v>0</v>
      </c>
      <c r="R7" s="24">
        <f t="shared" si="8"/>
        <v>0</v>
      </c>
      <c r="S7" s="23">
        <f t="shared" ca="1" si="9"/>
        <v>3279275</v>
      </c>
      <c r="T7" s="24">
        <f t="shared" si="10"/>
        <v>696829</v>
      </c>
      <c r="U7" s="27">
        <f>+T7</f>
        <v>696829</v>
      </c>
      <c r="V7" s="24" t="s">
        <v>40</v>
      </c>
      <c r="W7" s="24">
        <f t="shared" si="11"/>
        <v>2582446</v>
      </c>
      <c r="X7" s="24">
        <v>2582447.0942916102</v>
      </c>
      <c r="Y7" s="24" t="s">
        <v>40</v>
      </c>
      <c r="Z7" s="24">
        <f t="shared" ca="1" si="12"/>
        <v>0</v>
      </c>
      <c r="AA7" s="24"/>
      <c r="AB7" s="24"/>
      <c r="AC7" s="28">
        <f t="shared" si="13"/>
        <v>3279276.0942916102</v>
      </c>
      <c r="AD7" s="28">
        <f t="shared" ca="1" si="14"/>
        <v>-1.0942916101776063</v>
      </c>
      <c r="AE7" s="24" t="str">
        <f t="shared" ca="1" si="15"/>
        <v>SETTLED</v>
      </c>
      <c r="AF7" s="24" t="s">
        <v>56</v>
      </c>
      <c r="AG7" s="29">
        <v>1800003194</v>
      </c>
      <c r="AH7" s="30" t="s">
        <v>57</v>
      </c>
      <c r="AL7" t="e">
        <f>IF(#REF!="",1,IF(#REF!="(blank)",--(A7=""),IF(#REF!="(nonblank)",--(A7&lt;&gt;""),--ISNUMBER(SEARCH(#REF!,A7)))))</f>
        <v>#REF!</v>
      </c>
      <c r="AM7" t="e">
        <f>IF(#REF!="",1,IF(#REF!="(blank)",--(B7=""),IF(#REF!="(nonblank)",--(B7&lt;&gt;""),--ISNUMBER(SEARCH(#REF!,B7)))))</f>
        <v>#REF!</v>
      </c>
      <c r="AN7" t="e">
        <f>IF(#REF!="",1,IF(#REF!="(blank)",--(C7=""),IF(#REF!="(nonblank)",--(C7&lt;&gt;""),--ISNUMBER(SEARCH(#REF!,C7)))))</f>
        <v>#REF!</v>
      </c>
      <c r="AO7" t="e">
        <f>IF(#REF!="",1,IF(#REF!="(blank)",--(D7=""),IF(#REF!="(nonblank)",--(D7&lt;&gt;""),--ISNUMBER(SEARCH(#REF!,D7)))))</f>
        <v>#REF!</v>
      </c>
      <c r="AP7" t="e">
        <f>IF(#REF!="",1,IF(#REF!="(blank)",--(E7=""),IF(#REF!="(nonblank)",--(E7&lt;&gt;""),--ISNUMBER(SEARCH(#REF!,E7)))))</f>
        <v>#REF!</v>
      </c>
      <c r="AQ7" t="e">
        <f>IF(#REF!="",1,IF(#REF!="(blank)",--(F7=""),IF(#REF!="(nonblank)",--(F7&lt;&gt;""),--ISNUMBER(SEARCH(#REF!,F7)))))</f>
        <v>#REF!</v>
      </c>
      <c r="AR7" t="e">
        <f>IF(#REF!="",1,IF(#REF!="(blank)",--(G7=""),IF(#REF!="(nonblank)",--(G7&lt;&gt;""),--ISNUMBER(SEARCH(#REF!,G7)))))</f>
        <v>#REF!</v>
      </c>
      <c r="AS7" t="e">
        <f>IF(#REF!="",1,IF(#REF!="(blank)",--(H7=""),IF(#REF!="(nonblank)",--(H7&lt;&gt;""),--ISNUMBER(SEARCH(#REF!,H7)))))</f>
        <v>#REF!</v>
      </c>
      <c r="AT7" t="e">
        <f>IF(#REF!="",1,IF(#REF!="(blank)",--(I7=""),IF(#REF!="(nonblank)",--(I7&lt;&gt;""),--ISNUMBER(SEARCH(#REF!,I7)))))</f>
        <v>#REF!</v>
      </c>
      <c r="AU7" t="e">
        <f>IF(#REF!="",1,IF(#REF!="(blank)",--(J7=""),IF(#REF!="(nonblank)",--(J7&lt;&gt;""),--ISNUMBER(SEARCH(#REF!,J7)))))</f>
        <v>#REF!</v>
      </c>
      <c r="AV7" t="e">
        <f>IF(#REF!="",1,IF(#REF!="(blank)",--(K7=""),IF(#REF!="(nonblank)",--(K7&lt;&gt;""),--ISNUMBER(SEARCH(#REF!,K7)))))</f>
        <v>#REF!</v>
      </c>
      <c r="AW7" t="e">
        <f>IF(#REF!="",1,IF(#REF!="(blank)",--(L7=""),IF(#REF!="(nonblank)",--(L7&lt;&gt;""),--ISNUMBER(SEARCH(#REF!,L7)))))</f>
        <v>#REF!</v>
      </c>
      <c r="AX7" t="e">
        <f>IF(#REF!="",1,IF(#REF!="(blank)",--(M7=""),IF(#REF!="(nonblank)",--(M7&lt;&gt;""),--ISNUMBER(SEARCH(#REF!,M7)))))</f>
        <v>#REF!</v>
      </c>
      <c r="AY7" t="e">
        <f>IF(#REF!="",1,IF(#REF!="(blank)",--(N7=""),IF(#REF!="(nonblank)",--(N7&lt;&gt;""),--ISNUMBER(SEARCH(#REF!,N7)))))</f>
        <v>#REF!</v>
      </c>
      <c r="AZ7" t="e">
        <f>IF(#REF!="",1,IF(#REF!="(blank)",--(O7=""),IF(#REF!="(nonblank)",--(O7&lt;&gt;""),--ISNUMBER(SEARCH(#REF!,O7)))))</f>
        <v>#REF!</v>
      </c>
      <c r="BA7" t="e">
        <f>IF(#REF!="",1,IF(#REF!="(blank)",--(P7=""),IF(#REF!="(nonblank)",--(P7&lt;&gt;""),--ISNUMBER(SEARCH(#REF!,P7)))))</f>
        <v>#REF!</v>
      </c>
      <c r="BB7" t="e">
        <f>IF(#REF!="",1,IF(#REF!="(blank)",--(Q7=""),IF(#REF!="(nonblank)",--(Q7&lt;&gt;""),--ISNUMBER(SEARCH(#REF!,Q7)))))</f>
        <v>#REF!</v>
      </c>
      <c r="BC7" t="e">
        <f>IF(#REF!="",1,IF(#REF!="(blank)",--(R7=""),IF(#REF!="(nonblank)",--(R7&lt;&gt;""),--ISNUMBER(SEARCH(#REF!,R7)))))</f>
        <v>#REF!</v>
      </c>
      <c r="BD7" t="e">
        <f>IF(#REF!="",1,IF(#REF!="(blank)",--(S7=""),IF(#REF!="(nonblank)",--(S7&lt;&gt;""),--ISNUMBER(SEARCH(#REF!,S7)))))</f>
        <v>#REF!</v>
      </c>
      <c r="BE7" t="e">
        <f>IF(#REF!="",1,IF(#REF!="(blank)",--(T7=""),IF(#REF!="(nonblank)",--(T7&lt;&gt;""),--ISNUMBER(SEARCH(#REF!,T7)))))</f>
        <v>#REF!</v>
      </c>
      <c r="BF7" t="e">
        <f>IF(#REF!="",1,IF(#REF!="(blank)",--(U7=""),IF(#REF!="(nonblank)",--(U7&lt;&gt;""),--ISNUMBER(SEARCH(#REF!,U7)))))</f>
        <v>#REF!</v>
      </c>
      <c r="BG7" t="e">
        <f>IF(#REF!="",1,IF(#REF!="(blank)",--(V7=""),IF(#REF!="(nonblank)",--(V7&lt;&gt;""),--ISNUMBER(SEARCH(#REF!,V7)))))</f>
        <v>#REF!</v>
      </c>
      <c r="BH7" t="e">
        <f>IF(#REF!="",1,IF(#REF!="(blank)",--(W7=""),IF(#REF!="(nonblank)",--(W7&lt;&gt;""),--ISNUMBER(SEARCH(#REF!,W7)))))</f>
        <v>#REF!</v>
      </c>
      <c r="BI7" t="e">
        <f>IF(#REF!="",1,IF(#REF!="(blank)",--(X7=""),IF(#REF!="(nonblank)",--(X7&lt;&gt;""),--ISNUMBER(SEARCH(#REF!,X7)))))</f>
        <v>#REF!</v>
      </c>
      <c r="BJ7" t="e">
        <f>IF(#REF!="",1,IF(#REF!="(blank)",--(Y7=""),IF(#REF!="(nonblank)",--(Y7&lt;&gt;""),--ISNUMBER(SEARCH(#REF!,Y7)))))</f>
        <v>#REF!</v>
      </c>
      <c r="BK7" t="e">
        <f>IF(#REF!="",1,IF(#REF!="(blank)",--(Z7=""),IF(#REF!="(nonblank)",--(Z7&lt;&gt;""),--ISNUMBER(SEARCH(#REF!,Z7)))))</f>
        <v>#REF!</v>
      </c>
      <c r="BL7" t="e">
        <f>IF(#REF!="",1,IF(#REF!="(blank)",--(AA7=""),IF(#REF!="(nonblank)",--(AA7&lt;&gt;""),--ISNUMBER(SEARCH(#REF!,AA7)))))</f>
        <v>#REF!</v>
      </c>
      <c r="BM7" t="e">
        <f>IF(#REF!="",1,IF(#REF!="(blank)",--(AB7=""),IF(#REF!="(nonblank)",--(AB7&lt;&gt;""),--ISNUMBER(SEARCH(#REF!,AB7)))))</f>
        <v>#REF!</v>
      </c>
      <c r="BN7" t="e">
        <f>IF(#REF!="",1,IF(#REF!="(blank)",--(AC7=""),IF(#REF!="(nonblank)",--(AC7&lt;&gt;""),--ISNUMBER(SEARCH(#REF!,AC7)))))</f>
        <v>#REF!</v>
      </c>
      <c r="BO7" t="e">
        <f>IF(#REF!="",1,IF(#REF!="(blank)",--(AD7=""),IF(#REF!="(nonblank)",--(AD7&lt;&gt;""),--ISNUMBER(SEARCH(#REF!,AD7)))))</f>
        <v>#REF!</v>
      </c>
      <c r="BP7" t="e">
        <f>IF(#REF!="",1,IF(#REF!="(blank)",--(AE7=""),IF(#REF!="(nonblank)",--(AE7&lt;&gt;""),--ISNUMBER(SEARCH(#REF!,AE7)))))</f>
        <v>#REF!</v>
      </c>
      <c r="BQ7" t="e">
        <f>IF(#REF!="",1,IF(#REF!="(blank)",--(AF7=""),IF(#REF!="(nonblank)",--(AF7&lt;&gt;""),--ISNUMBER(SEARCH(#REF!,AF7)))))</f>
        <v>#REF!</v>
      </c>
      <c r="BR7" t="e">
        <f>IF(#REF!="",1,IF(#REF!="(blank)",--(AG7=""),IF(#REF!="(nonblank)",--(AG7&lt;&gt;""),--ISNUMBER(SEARCH(#REF!,AG7)))))</f>
        <v>#REF!</v>
      </c>
      <c r="BS7" t="e">
        <f>IF(#REF!="",1,IF(#REF!="(blank)",--(AH7=""),IF(#REF!="(nonblank)",--(AH7&lt;&gt;""),--ISNUMBER(SEARCH(#REF!,AH7)))))</f>
        <v>#REF!</v>
      </c>
      <c r="BT7">
        <f t="shared" si="16"/>
        <v>1</v>
      </c>
    </row>
    <row r="8" spans="1:72" ht="14.25" customHeight="1" x14ac:dyDescent="0.3">
      <c r="A8" s="31">
        <v>4</v>
      </c>
      <c r="B8" s="32" t="s">
        <v>58</v>
      </c>
      <c r="C8" s="33">
        <v>51511</v>
      </c>
      <c r="D8" s="34">
        <v>21977</v>
      </c>
      <c r="E8" s="34" t="s">
        <v>38</v>
      </c>
      <c r="F8" s="34">
        <v>2002</v>
      </c>
      <c r="G8" s="32" t="s">
        <v>39</v>
      </c>
      <c r="H8" s="35">
        <v>206044</v>
      </c>
      <c r="I8" s="35">
        <f t="shared" si="0"/>
        <v>37088</v>
      </c>
      <c r="J8" s="35">
        <f t="shared" si="1"/>
        <v>243132</v>
      </c>
      <c r="K8" s="35">
        <f t="shared" si="2"/>
        <v>4863</v>
      </c>
      <c r="L8" s="36">
        <f t="shared" si="3"/>
        <v>206.04400000000001</v>
      </c>
      <c r="M8" s="36">
        <f t="shared" si="4"/>
        <v>5470.4681999999993</v>
      </c>
      <c r="N8" s="37">
        <f t="shared" si="5"/>
        <v>92.719799999999992</v>
      </c>
      <c r="O8" s="36">
        <f t="shared" si="6"/>
        <v>5377.7483999999995</v>
      </c>
      <c r="P8" s="36">
        <f t="shared" si="7"/>
        <v>5584</v>
      </c>
      <c r="Q8" s="38">
        <v>0</v>
      </c>
      <c r="R8" s="36">
        <f t="shared" si="8"/>
        <v>0</v>
      </c>
      <c r="S8" s="23">
        <f t="shared" ca="1" si="9"/>
        <v>242411</v>
      </c>
      <c r="T8" s="36">
        <f t="shared" si="10"/>
        <v>51511</v>
      </c>
      <c r="U8" s="39">
        <f>+T8</f>
        <v>51511</v>
      </c>
      <c r="V8" s="36" t="s">
        <v>40</v>
      </c>
      <c r="W8" s="36">
        <f t="shared" si="11"/>
        <v>190900</v>
      </c>
      <c r="X8" s="36">
        <v>190900</v>
      </c>
      <c r="Y8" s="36" t="s">
        <v>34</v>
      </c>
      <c r="Z8" s="36">
        <f t="shared" ca="1" si="12"/>
        <v>0</v>
      </c>
      <c r="AA8" s="36"/>
      <c r="AB8" s="36"/>
      <c r="AC8" s="11">
        <f t="shared" si="13"/>
        <v>242411</v>
      </c>
      <c r="AD8" s="15">
        <f t="shared" ca="1" si="14"/>
        <v>0</v>
      </c>
      <c r="AE8" s="16" t="str">
        <f t="shared" ca="1" si="15"/>
        <v>SETTLED</v>
      </c>
      <c r="AF8" s="16" t="s">
        <v>59</v>
      </c>
      <c r="AG8" s="17">
        <v>1800003303</v>
      </c>
      <c r="AH8" s="18" t="s">
        <v>42</v>
      </c>
      <c r="AL8" t="e">
        <f>IF(#REF!="",1,IF(#REF!="(blank)",--(A8=""),IF(#REF!="(nonblank)",--(A8&lt;&gt;""),--ISNUMBER(SEARCH(#REF!,A8)))))</f>
        <v>#REF!</v>
      </c>
      <c r="AM8" t="e">
        <f>IF(#REF!="",1,IF(#REF!="(blank)",--(B8=""),IF(#REF!="(nonblank)",--(B8&lt;&gt;""),--ISNUMBER(SEARCH(#REF!,B8)))))</f>
        <v>#REF!</v>
      </c>
      <c r="AN8" t="e">
        <f>IF(#REF!="",1,IF(#REF!="(blank)",--(C8=""),IF(#REF!="(nonblank)",--(C8&lt;&gt;""),--ISNUMBER(SEARCH(#REF!,C8)))))</f>
        <v>#REF!</v>
      </c>
      <c r="AO8" t="e">
        <f>IF(#REF!="",1,IF(#REF!="(blank)",--(D8=""),IF(#REF!="(nonblank)",--(D8&lt;&gt;""),--ISNUMBER(SEARCH(#REF!,D8)))))</f>
        <v>#REF!</v>
      </c>
      <c r="AP8" t="e">
        <f>IF(#REF!="",1,IF(#REF!="(blank)",--(E8=""),IF(#REF!="(nonblank)",--(E8&lt;&gt;""),--ISNUMBER(SEARCH(#REF!,E8)))))</f>
        <v>#REF!</v>
      </c>
      <c r="AQ8" t="e">
        <f>IF(#REF!="",1,IF(#REF!="(blank)",--(F8=""),IF(#REF!="(nonblank)",--(F8&lt;&gt;""),--ISNUMBER(SEARCH(#REF!,F8)))))</f>
        <v>#REF!</v>
      </c>
      <c r="AR8" t="e">
        <f>IF(#REF!="",1,IF(#REF!="(blank)",--(G8=""),IF(#REF!="(nonblank)",--(G8&lt;&gt;""),--ISNUMBER(SEARCH(#REF!,G8)))))</f>
        <v>#REF!</v>
      </c>
      <c r="AS8" t="e">
        <f>IF(#REF!="",1,IF(#REF!="(blank)",--(H8=""),IF(#REF!="(nonblank)",--(H8&lt;&gt;""),--ISNUMBER(SEARCH(#REF!,H8)))))</f>
        <v>#REF!</v>
      </c>
      <c r="AT8" t="e">
        <f>IF(#REF!="",1,IF(#REF!="(blank)",--(I8=""),IF(#REF!="(nonblank)",--(I8&lt;&gt;""),--ISNUMBER(SEARCH(#REF!,I8)))))</f>
        <v>#REF!</v>
      </c>
      <c r="AU8" t="e">
        <f>IF(#REF!="",1,IF(#REF!="(blank)",--(J8=""),IF(#REF!="(nonblank)",--(J8&lt;&gt;""),--ISNUMBER(SEARCH(#REF!,J8)))))</f>
        <v>#REF!</v>
      </c>
      <c r="AV8" t="e">
        <f>IF(#REF!="",1,IF(#REF!="(blank)",--(K8=""),IF(#REF!="(nonblank)",--(K8&lt;&gt;""),--ISNUMBER(SEARCH(#REF!,K8)))))</f>
        <v>#REF!</v>
      </c>
      <c r="AW8" t="e">
        <f>IF(#REF!="",1,IF(#REF!="(blank)",--(L8=""),IF(#REF!="(nonblank)",--(L8&lt;&gt;""),--ISNUMBER(SEARCH(#REF!,L8)))))</f>
        <v>#REF!</v>
      </c>
      <c r="AX8" t="e">
        <f>IF(#REF!="",1,IF(#REF!="(blank)",--(M8=""),IF(#REF!="(nonblank)",--(M8&lt;&gt;""),--ISNUMBER(SEARCH(#REF!,M8)))))</f>
        <v>#REF!</v>
      </c>
      <c r="AY8" t="e">
        <f>IF(#REF!="",1,IF(#REF!="(blank)",--(N8=""),IF(#REF!="(nonblank)",--(N8&lt;&gt;""),--ISNUMBER(SEARCH(#REF!,N8)))))</f>
        <v>#REF!</v>
      </c>
      <c r="AZ8" t="e">
        <f>IF(#REF!="",1,IF(#REF!="(blank)",--(O8=""),IF(#REF!="(nonblank)",--(O8&lt;&gt;""),--ISNUMBER(SEARCH(#REF!,O8)))))</f>
        <v>#REF!</v>
      </c>
      <c r="BA8" t="e">
        <f>IF(#REF!="",1,IF(#REF!="(blank)",--(P8=""),IF(#REF!="(nonblank)",--(P8&lt;&gt;""),--ISNUMBER(SEARCH(#REF!,P8)))))</f>
        <v>#REF!</v>
      </c>
      <c r="BB8" t="e">
        <f>IF(#REF!="",1,IF(#REF!="(blank)",--(Q8=""),IF(#REF!="(nonblank)",--(Q8&lt;&gt;""),--ISNUMBER(SEARCH(#REF!,Q8)))))</f>
        <v>#REF!</v>
      </c>
      <c r="BC8" t="e">
        <f>IF(#REF!="",1,IF(#REF!="(blank)",--(R8=""),IF(#REF!="(nonblank)",--(R8&lt;&gt;""),--ISNUMBER(SEARCH(#REF!,R8)))))</f>
        <v>#REF!</v>
      </c>
      <c r="BD8" t="e">
        <f>IF(#REF!="",1,IF(#REF!="(blank)",--(S8=""),IF(#REF!="(nonblank)",--(S8&lt;&gt;""),--ISNUMBER(SEARCH(#REF!,S8)))))</f>
        <v>#REF!</v>
      </c>
      <c r="BE8" t="e">
        <f>IF(#REF!="",1,IF(#REF!="(blank)",--(T8=""),IF(#REF!="(nonblank)",--(T8&lt;&gt;""),--ISNUMBER(SEARCH(#REF!,T8)))))</f>
        <v>#REF!</v>
      </c>
      <c r="BF8" t="e">
        <f>IF(#REF!="",1,IF(#REF!="(blank)",--(U8=""),IF(#REF!="(nonblank)",--(U8&lt;&gt;""),--ISNUMBER(SEARCH(#REF!,U8)))))</f>
        <v>#REF!</v>
      </c>
      <c r="BG8" t="e">
        <f>IF(#REF!="",1,IF(#REF!="(blank)",--(V8=""),IF(#REF!="(nonblank)",--(V8&lt;&gt;""),--ISNUMBER(SEARCH(#REF!,V8)))))</f>
        <v>#REF!</v>
      </c>
      <c r="BH8" t="e">
        <f>IF(#REF!="",1,IF(#REF!="(blank)",--(W8=""),IF(#REF!="(nonblank)",--(W8&lt;&gt;""),--ISNUMBER(SEARCH(#REF!,W8)))))</f>
        <v>#REF!</v>
      </c>
      <c r="BI8" t="e">
        <f>IF(#REF!="",1,IF(#REF!="(blank)",--(X8=""),IF(#REF!="(nonblank)",--(X8&lt;&gt;""),--ISNUMBER(SEARCH(#REF!,X8)))))</f>
        <v>#REF!</v>
      </c>
      <c r="BJ8" t="e">
        <f>IF(#REF!="",1,IF(#REF!="(blank)",--(Y8=""),IF(#REF!="(nonblank)",--(Y8&lt;&gt;""),--ISNUMBER(SEARCH(#REF!,Y8)))))</f>
        <v>#REF!</v>
      </c>
      <c r="BK8" t="e">
        <f>IF(#REF!="",1,IF(#REF!="(blank)",--(Z8=""),IF(#REF!="(nonblank)",--(Z8&lt;&gt;""),--ISNUMBER(SEARCH(#REF!,Z8)))))</f>
        <v>#REF!</v>
      </c>
      <c r="BL8" t="e">
        <f>IF(#REF!="",1,IF(#REF!="(blank)",--(AA8=""),IF(#REF!="(nonblank)",--(AA8&lt;&gt;""),--ISNUMBER(SEARCH(#REF!,AA8)))))</f>
        <v>#REF!</v>
      </c>
      <c r="BM8" t="e">
        <f>IF(#REF!="",1,IF(#REF!="(blank)",--(AB8=""),IF(#REF!="(nonblank)",--(AB8&lt;&gt;""),--ISNUMBER(SEARCH(#REF!,AB8)))))</f>
        <v>#REF!</v>
      </c>
      <c r="BN8" t="e">
        <f>IF(#REF!="",1,IF(#REF!="(blank)",--(AC8=""),IF(#REF!="(nonblank)",--(AC8&lt;&gt;""),--ISNUMBER(SEARCH(#REF!,AC8)))))</f>
        <v>#REF!</v>
      </c>
      <c r="BO8" t="e">
        <f>IF(#REF!="",1,IF(#REF!="(blank)",--(AD8=""),IF(#REF!="(nonblank)",--(AD8&lt;&gt;""),--ISNUMBER(SEARCH(#REF!,AD8)))))</f>
        <v>#REF!</v>
      </c>
      <c r="BP8" t="e">
        <f>IF(#REF!="",1,IF(#REF!="(blank)",--(AE8=""),IF(#REF!="(nonblank)",--(AE8&lt;&gt;""),--ISNUMBER(SEARCH(#REF!,AE8)))))</f>
        <v>#REF!</v>
      </c>
      <c r="BQ8" t="e">
        <f>IF(#REF!="",1,IF(#REF!="(blank)",--(AF8=""),IF(#REF!="(nonblank)",--(AF8&lt;&gt;""),--ISNUMBER(SEARCH(#REF!,AF8)))))</f>
        <v>#REF!</v>
      </c>
      <c r="BR8" t="e">
        <f>IF(#REF!="",1,IF(#REF!="(blank)",--(AG8=""),IF(#REF!="(nonblank)",--(AG8&lt;&gt;""),--ISNUMBER(SEARCH(#REF!,AG8)))))</f>
        <v>#REF!</v>
      </c>
      <c r="BS8" t="e">
        <f>IF(#REF!="",1,IF(#REF!="(blank)",--(AH8=""),IF(#REF!="(nonblank)",--(AH8&lt;&gt;""),--ISNUMBER(SEARCH(#REF!,AH8)))))</f>
        <v>#REF!</v>
      </c>
      <c r="BT8">
        <f t="shared" si="16"/>
        <v>1</v>
      </c>
    </row>
    <row r="9" spans="1:72" ht="14.25" customHeight="1" x14ac:dyDescent="0.3">
      <c r="A9" s="19">
        <v>1</v>
      </c>
      <c r="B9" s="20" t="s">
        <v>60</v>
      </c>
      <c r="C9" s="21">
        <v>65007</v>
      </c>
      <c r="D9" s="22">
        <v>21977</v>
      </c>
      <c r="E9" s="22" t="s">
        <v>38</v>
      </c>
      <c r="F9" s="22">
        <v>2003</v>
      </c>
      <c r="G9" s="20" t="s">
        <v>39</v>
      </c>
      <c r="H9" s="23">
        <v>65007</v>
      </c>
      <c r="I9" s="23">
        <f t="shared" si="0"/>
        <v>11701</v>
      </c>
      <c r="J9" s="23">
        <f t="shared" si="1"/>
        <v>76708</v>
      </c>
      <c r="K9" s="23">
        <f t="shared" si="2"/>
        <v>1534</v>
      </c>
      <c r="L9" s="24">
        <f t="shared" si="3"/>
        <v>65.007000000000005</v>
      </c>
      <c r="M9" s="24">
        <f t="shared" si="4"/>
        <v>1725.9358499999998</v>
      </c>
      <c r="N9" s="25">
        <f t="shared" si="5"/>
        <v>29.253150000000002</v>
      </c>
      <c r="O9" s="24">
        <f t="shared" si="6"/>
        <v>1696.6826999999998</v>
      </c>
      <c r="P9" s="24">
        <f t="shared" si="7"/>
        <v>1762</v>
      </c>
      <c r="Q9" s="26">
        <v>0</v>
      </c>
      <c r="R9" s="24">
        <f t="shared" si="8"/>
        <v>0</v>
      </c>
      <c r="S9" s="23">
        <f t="shared" ca="1" si="9"/>
        <v>76481</v>
      </c>
      <c r="T9" s="24">
        <f t="shared" si="10"/>
        <v>16252</v>
      </c>
      <c r="U9" s="27">
        <f>+T9</f>
        <v>16252</v>
      </c>
      <c r="V9" s="24" t="s">
        <v>40</v>
      </c>
      <c r="W9" s="24">
        <f t="shared" si="11"/>
        <v>60229</v>
      </c>
      <c r="X9" s="24">
        <v>60229</v>
      </c>
      <c r="Y9" s="24" t="s">
        <v>34</v>
      </c>
      <c r="Z9" s="24">
        <f t="shared" ca="1" si="12"/>
        <v>0</v>
      </c>
      <c r="AA9" s="24"/>
      <c r="AB9" s="24"/>
      <c r="AC9" s="28">
        <f t="shared" si="13"/>
        <v>76481</v>
      </c>
      <c r="AD9" s="28">
        <f t="shared" ca="1" si="14"/>
        <v>0</v>
      </c>
      <c r="AE9" s="24" t="str">
        <f t="shared" ca="1" si="15"/>
        <v>SETTLED</v>
      </c>
      <c r="AF9" s="24" t="s">
        <v>61</v>
      </c>
      <c r="AG9" s="29">
        <v>1800003304</v>
      </c>
      <c r="AH9" s="30" t="s">
        <v>42</v>
      </c>
      <c r="AL9" t="e">
        <f>IF(#REF!="",1,IF(#REF!="(blank)",--(A9=""),IF(#REF!="(nonblank)",--(A9&lt;&gt;""),--ISNUMBER(SEARCH(#REF!,A9)))))</f>
        <v>#REF!</v>
      </c>
      <c r="AM9" t="e">
        <f>IF(#REF!="",1,IF(#REF!="(blank)",--(B9=""),IF(#REF!="(nonblank)",--(B9&lt;&gt;""),--ISNUMBER(SEARCH(#REF!,B9)))))</f>
        <v>#REF!</v>
      </c>
      <c r="AN9" t="e">
        <f>IF(#REF!="",1,IF(#REF!="(blank)",--(C9=""),IF(#REF!="(nonblank)",--(C9&lt;&gt;""),--ISNUMBER(SEARCH(#REF!,C9)))))</f>
        <v>#REF!</v>
      </c>
      <c r="AO9" t="e">
        <f>IF(#REF!="",1,IF(#REF!="(blank)",--(D9=""),IF(#REF!="(nonblank)",--(D9&lt;&gt;""),--ISNUMBER(SEARCH(#REF!,D9)))))</f>
        <v>#REF!</v>
      </c>
      <c r="AP9" t="e">
        <f>IF(#REF!="",1,IF(#REF!="(blank)",--(E9=""),IF(#REF!="(nonblank)",--(E9&lt;&gt;""),--ISNUMBER(SEARCH(#REF!,E9)))))</f>
        <v>#REF!</v>
      </c>
      <c r="AQ9" t="e">
        <f>IF(#REF!="",1,IF(#REF!="(blank)",--(F9=""),IF(#REF!="(nonblank)",--(F9&lt;&gt;""),--ISNUMBER(SEARCH(#REF!,F9)))))</f>
        <v>#REF!</v>
      </c>
      <c r="AR9" t="e">
        <f>IF(#REF!="",1,IF(#REF!="(blank)",--(G9=""),IF(#REF!="(nonblank)",--(G9&lt;&gt;""),--ISNUMBER(SEARCH(#REF!,G9)))))</f>
        <v>#REF!</v>
      </c>
      <c r="AS9" t="e">
        <f>IF(#REF!="",1,IF(#REF!="(blank)",--(H9=""),IF(#REF!="(nonblank)",--(H9&lt;&gt;""),--ISNUMBER(SEARCH(#REF!,H9)))))</f>
        <v>#REF!</v>
      </c>
      <c r="AT9" t="e">
        <f>IF(#REF!="",1,IF(#REF!="(blank)",--(I9=""),IF(#REF!="(nonblank)",--(I9&lt;&gt;""),--ISNUMBER(SEARCH(#REF!,I9)))))</f>
        <v>#REF!</v>
      </c>
      <c r="AU9" t="e">
        <f>IF(#REF!="",1,IF(#REF!="(blank)",--(J9=""),IF(#REF!="(nonblank)",--(J9&lt;&gt;""),--ISNUMBER(SEARCH(#REF!,J9)))))</f>
        <v>#REF!</v>
      </c>
      <c r="AV9" t="e">
        <f>IF(#REF!="",1,IF(#REF!="(blank)",--(K9=""),IF(#REF!="(nonblank)",--(K9&lt;&gt;""),--ISNUMBER(SEARCH(#REF!,K9)))))</f>
        <v>#REF!</v>
      </c>
      <c r="AW9" t="e">
        <f>IF(#REF!="",1,IF(#REF!="(blank)",--(L9=""),IF(#REF!="(nonblank)",--(L9&lt;&gt;""),--ISNUMBER(SEARCH(#REF!,L9)))))</f>
        <v>#REF!</v>
      </c>
      <c r="AX9" t="e">
        <f>IF(#REF!="",1,IF(#REF!="(blank)",--(M9=""),IF(#REF!="(nonblank)",--(M9&lt;&gt;""),--ISNUMBER(SEARCH(#REF!,M9)))))</f>
        <v>#REF!</v>
      </c>
      <c r="AY9" t="e">
        <f>IF(#REF!="",1,IF(#REF!="(blank)",--(N9=""),IF(#REF!="(nonblank)",--(N9&lt;&gt;""),--ISNUMBER(SEARCH(#REF!,N9)))))</f>
        <v>#REF!</v>
      </c>
      <c r="AZ9" t="e">
        <f>IF(#REF!="",1,IF(#REF!="(blank)",--(O9=""),IF(#REF!="(nonblank)",--(O9&lt;&gt;""),--ISNUMBER(SEARCH(#REF!,O9)))))</f>
        <v>#REF!</v>
      </c>
      <c r="BA9" t="e">
        <f>IF(#REF!="",1,IF(#REF!="(blank)",--(P9=""),IF(#REF!="(nonblank)",--(P9&lt;&gt;""),--ISNUMBER(SEARCH(#REF!,P9)))))</f>
        <v>#REF!</v>
      </c>
      <c r="BB9" t="e">
        <f>IF(#REF!="",1,IF(#REF!="(blank)",--(Q9=""),IF(#REF!="(nonblank)",--(Q9&lt;&gt;""),--ISNUMBER(SEARCH(#REF!,Q9)))))</f>
        <v>#REF!</v>
      </c>
      <c r="BC9" t="e">
        <f>IF(#REF!="",1,IF(#REF!="(blank)",--(R9=""),IF(#REF!="(nonblank)",--(R9&lt;&gt;""),--ISNUMBER(SEARCH(#REF!,R9)))))</f>
        <v>#REF!</v>
      </c>
      <c r="BD9" t="e">
        <f>IF(#REF!="",1,IF(#REF!="(blank)",--(S9=""),IF(#REF!="(nonblank)",--(S9&lt;&gt;""),--ISNUMBER(SEARCH(#REF!,S9)))))</f>
        <v>#REF!</v>
      </c>
      <c r="BE9" t="e">
        <f>IF(#REF!="",1,IF(#REF!="(blank)",--(T9=""),IF(#REF!="(nonblank)",--(T9&lt;&gt;""),--ISNUMBER(SEARCH(#REF!,T9)))))</f>
        <v>#REF!</v>
      </c>
      <c r="BF9" t="e">
        <f>IF(#REF!="",1,IF(#REF!="(blank)",--(U9=""),IF(#REF!="(nonblank)",--(U9&lt;&gt;""),--ISNUMBER(SEARCH(#REF!,U9)))))</f>
        <v>#REF!</v>
      </c>
      <c r="BG9" t="e">
        <f>IF(#REF!="",1,IF(#REF!="(blank)",--(V9=""),IF(#REF!="(nonblank)",--(V9&lt;&gt;""),--ISNUMBER(SEARCH(#REF!,V9)))))</f>
        <v>#REF!</v>
      </c>
      <c r="BH9" t="e">
        <f>IF(#REF!="",1,IF(#REF!="(blank)",--(W9=""),IF(#REF!="(nonblank)",--(W9&lt;&gt;""),--ISNUMBER(SEARCH(#REF!,W9)))))</f>
        <v>#REF!</v>
      </c>
      <c r="BI9" t="e">
        <f>IF(#REF!="",1,IF(#REF!="(blank)",--(X9=""),IF(#REF!="(nonblank)",--(X9&lt;&gt;""),--ISNUMBER(SEARCH(#REF!,X9)))))</f>
        <v>#REF!</v>
      </c>
      <c r="BJ9" t="e">
        <f>IF(#REF!="",1,IF(#REF!="(blank)",--(Y9=""),IF(#REF!="(nonblank)",--(Y9&lt;&gt;""),--ISNUMBER(SEARCH(#REF!,Y9)))))</f>
        <v>#REF!</v>
      </c>
      <c r="BK9" t="e">
        <f>IF(#REF!="",1,IF(#REF!="(blank)",--(Z9=""),IF(#REF!="(nonblank)",--(Z9&lt;&gt;""),--ISNUMBER(SEARCH(#REF!,Z9)))))</f>
        <v>#REF!</v>
      </c>
      <c r="BL9" t="e">
        <f>IF(#REF!="",1,IF(#REF!="(blank)",--(AA9=""),IF(#REF!="(nonblank)",--(AA9&lt;&gt;""),--ISNUMBER(SEARCH(#REF!,AA9)))))</f>
        <v>#REF!</v>
      </c>
      <c r="BM9" t="e">
        <f>IF(#REF!="",1,IF(#REF!="(blank)",--(AB9=""),IF(#REF!="(nonblank)",--(AB9&lt;&gt;""),--ISNUMBER(SEARCH(#REF!,AB9)))))</f>
        <v>#REF!</v>
      </c>
      <c r="BN9" t="e">
        <f>IF(#REF!="",1,IF(#REF!="(blank)",--(AC9=""),IF(#REF!="(nonblank)",--(AC9&lt;&gt;""),--ISNUMBER(SEARCH(#REF!,AC9)))))</f>
        <v>#REF!</v>
      </c>
      <c r="BO9" t="e">
        <f>IF(#REF!="",1,IF(#REF!="(blank)",--(AD9=""),IF(#REF!="(nonblank)",--(AD9&lt;&gt;""),--ISNUMBER(SEARCH(#REF!,AD9)))))</f>
        <v>#REF!</v>
      </c>
      <c r="BP9" t="e">
        <f>IF(#REF!="",1,IF(#REF!="(blank)",--(AE9=""),IF(#REF!="(nonblank)",--(AE9&lt;&gt;""),--ISNUMBER(SEARCH(#REF!,AE9)))))</f>
        <v>#REF!</v>
      </c>
      <c r="BQ9" t="e">
        <f>IF(#REF!="",1,IF(#REF!="(blank)",--(AF9=""),IF(#REF!="(nonblank)",--(AF9&lt;&gt;""),--ISNUMBER(SEARCH(#REF!,AF9)))))</f>
        <v>#REF!</v>
      </c>
      <c r="BR9" t="e">
        <f>IF(#REF!="",1,IF(#REF!="(blank)",--(AG9=""),IF(#REF!="(nonblank)",--(AG9&lt;&gt;""),--ISNUMBER(SEARCH(#REF!,AG9)))))</f>
        <v>#REF!</v>
      </c>
      <c r="BS9" t="e">
        <f>IF(#REF!="",1,IF(#REF!="(blank)",--(AH9=""),IF(#REF!="(nonblank)",--(AH9&lt;&gt;""),--ISNUMBER(SEARCH(#REF!,AH9)))))</f>
        <v>#REF!</v>
      </c>
      <c r="BT9">
        <f t="shared" si="16"/>
        <v>1</v>
      </c>
    </row>
    <row r="10" spans="1:72" ht="14.25" customHeight="1" x14ac:dyDescent="0.3">
      <c r="A10" s="31">
        <v>1</v>
      </c>
      <c r="B10" s="32" t="s">
        <v>62</v>
      </c>
      <c r="C10" s="33">
        <v>70006</v>
      </c>
      <c r="D10" s="34">
        <v>21977</v>
      </c>
      <c r="E10" s="34" t="s">
        <v>38</v>
      </c>
      <c r="F10" s="34">
        <v>2005</v>
      </c>
      <c r="G10" s="32" t="s">
        <v>39</v>
      </c>
      <c r="H10" s="35">
        <v>70006</v>
      </c>
      <c r="I10" s="35">
        <f t="shared" si="0"/>
        <v>12601</v>
      </c>
      <c r="J10" s="35">
        <f t="shared" si="1"/>
        <v>82607</v>
      </c>
      <c r="K10" s="35">
        <f t="shared" si="2"/>
        <v>1652</v>
      </c>
      <c r="L10" s="36">
        <f t="shared" si="3"/>
        <v>70.006</v>
      </c>
      <c r="M10" s="36">
        <f t="shared" si="4"/>
        <v>1858.6592999999998</v>
      </c>
      <c r="N10" s="37">
        <f t="shared" si="5"/>
        <v>31.502700000000001</v>
      </c>
      <c r="O10" s="36">
        <f t="shared" si="6"/>
        <v>1827.1565999999998</v>
      </c>
      <c r="P10" s="36">
        <f t="shared" si="7"/>
        <v>1897</v>
      </c>
      <c r="Q10" s="38">
        <v>0</v>
      </c>
      <c r="R10" s="36">
        <f t="shared" si="8"/>
        <v>0</v>
      </c>
      <c r="S10" s="23">
        <f t="shared" ca="1" si="9"/>
        <v>82362</v>
      </c>
      <c r="T10" s="36">
        <f t="shared" si="10"/>
        <v>17502</v>
      </c>
      <c r="U10" s="39">
        <f>+T10</f>
        <v>17502</v>
      </c>
      <c r="V10" s="36" t="s">
        <v>40</v>
      </c>
      <c r="W10" s="36">
        <f t="shared" si="11"/>
        <v>64861</v>
      </c>
      <c r="X10" s="36">
        <v>64859</v>
      </c>
      <c r="Y10" s="36" t="s">
        <v>34</v>
      </c>
      <c r="Z10" s="36">
        <f t="shared" ca="1" si="12"/>
        <v>0</v>
      </c>
      <c r="AA10" s="36"/>
      <c r="AB10" s="36"/>
      <c r="AC10" s="11">
        <f t="shared" si="13"/>
        <v>82361</v>
      </c>
      <c r="AD10" s="15">
        <f t="shared" ca="1" si="14"/>
        <v>1</v>
      </c>
      <c r="AE10" s="16" t="str">
        <f t="shared" ca="1" si="15"/>
        <v>SETTLED</v>
      </c>
      <c r="AF10" s="16" t="s">
        <v>63</v>
      </c>
      <c r="AG10" s="17">
        <v>1800003305</v>
      </c>
      <c r="AH10" s="18" t="s">
        <v>42</v>
      </c>
      <c r="AL10" t="e">
        <f>IF(#REF!="",1,IF(#REF!="(blank)",--(A10=""),IF(#REF!="(nonblank)",--(A10&lt;&gt;""),--ISNUMBER(SEARCH(#REF!,A10)))))</f>
        <v>#REF!</v>
      </c>
      <c r="AM10" t="e">
        <f>IF(#REF!="",1,IF(#REF!="(blank)",--(B10=""),IF(#REF!="(nonblank)",--(B10&lt;&gt;""),--ISNUMBER(SEARCH(#REF!,B10)))))</f>
        <v>#REF!</v>
      </c>
      <c r="AN10" t="e">
        <f>IF(#REF!="",1,IF(#REF!="(blank)",--(C10=""),IF(#REF!="(nonblank)",--(C10&lt;&gt;""),--ISNUMBER(SEARCH(#REF!,C10)))))</f>
        <v>#REF!</v>
      </c>
      <c r="AO10" t="e">
        <f>IF(#REF!="",1,IF(#REF!="(blank)",--(D10=""),IF(#REF!="(nonblank)",--(D10&lt;&gt;""),--ISNUMBER(SEARCH(#REF!,D10)))))</f>
        <v>#REF!</v>
      </c>
      <c r="AP10" t="e">
        <f>IF(#REF!="",1,IF(#REF!="(blank)",--(E10=""),IF(#REF!="(nonblank)",--(E10&lt;&gt;""),--ISNUMBER(SEARCH(#REF!,E10)))))</f>
        <v>#REF!</v>
      </c>
      <c r="AQ10" t="e">
        <f>IF(#REF!="",1,IF(#REF!="(blank)",--(F10=""),IF(#REF!="(nonblank)",--(F10&lt;&gt;""),--ISNUMBER(SEARCH(#REF!,F10)))))</f>
        <v>#REF!</v>
      </c>
      <c r="AR10" t="e">
        <f>IF(#REF!="",1,IF(#REF!="(blank)",--(G10=""),IF(#REF!="(nonblank)",--(G10&lt;&gt;""),--ISNUMBER(SEARCH(#REF!,G10)))))</f>
        <v>#REF!</v>
      </c>
      <c r="AS10" t="e">
        <f>IF(#REF!="",1,IF(#REF!="(blank)",--(H10=""),IF(#REF!="(nonblank)",--(H10&lt;&gt;""),--ISNUMBER(SEARCH(#REF!,H10)))))</f>
        <v>#REF!</v>
      </c>
      <c r="AT10" t="e">
        <f>IF(#REF!="",1,IF(#REF!="(blank)",--(I10=""),IF(#REF!="(nonblank)",--(I10&lt;&gt;""),--ISNUMBER(SEARCH(#REF!,I10)))))</f>
        <v>#REF!</v>
      </c>
      <c r="AU10" t="e">
        <f>IF(#REF!="",1,IF(#REF!="(blank)",--(J10=""),IF(#REF!="(nonblank)",--(J10&lt;&gt;""),--ISNUMBER(SEARCH(#REF!,J10)))))</f>
        <v>#REF!</v>
      </c>
      <c r="AV10" t="e">
        <f>IF(#REF!="",1,IF(#REF!="(blank)",--(K10=""),IF(#REF!="(nonblank)",--(K10&lt;&gt;""),--ISNUMBER(SEARCH(#REF!,K10)))))</f>
        <v>#REF!</v>
      </c>
      <c r="AW10" t="e">
        <f>IF(#REF!="",1,IF(#REF!="(blank)",--(L10=""),IF(#REF!="(nonblank)",--(L10&lt;&gt;""),--ISNUMBER(SEARCH(#REF!,L10)))))</f>
        <v>#REF!</v>
      </c>
      <c r="AX10" t="e">
        <f>IF(#REF!="",1,IF(#REF!="(blank)",--(M10=""),IF(#REF!="(nonblank)",--(M10&lt;&gt;""),--ISNUMBER(SEARCH(#REF!,M10)))))</f>
        <v>#REF!</v>
      </c>
      <c r="AY10" t="e">
        <f>IF(#REF!="",1,IF(#REF!="(blank)",--(N10=""),IF(#REF!="(nonblank)",--(N10&lt;&gt;""),--ISNUMBER(SEARCH(#REF!,N10)))))</f>
        <v>#REF!</v>
      </c>
      <c r="AZ10" t="e">
        <f>IF(#REF!="",1,IF(#REF!="(blank)",--(O10=""),IF(#REF!="(nonblank)",--(O10&lt;&gt;""),--ISNUMBER(SEARCH(#REF!,O10)))))</f>
        <v>#REF!</v>
      </c>
      <c r="BA10" t="e">
        <f>IF(#REF!="",1,IF(#REF!="(blank)",--(P10=""),IF(#REF!="(nonblank)",--(P10&lt;&gt;""),--ISNUMBER(SEARCH(#REF!,P10)))))</f>
        <v>#REF!</v>
      </c>
      <c r="BB10" t="e">
        <f>IF(#REF!="",1,IF(#REF!="(blank)",--(Q10=""),IF(#REF!="(nonblank)",--(Q10&lt;&gt;""),--ISNUMBER(SEARCH(#REF!,Q10)))))</f>
        <v>#REF!</v>
      </c>
      <c r="BC10" t="e">
        <f>IF(#REF!="",1,IF(#REF!="(blank)",--(R10=""),IF(#REF!="(nonblank)",--(R10&lt;&gt;""),--ISNUMBER(SEARCH(#REF!,R10)))))</f>
        <v>#REF!</v>
      </c>
      <c r="BD10" t="e">
        <f>IF(#REF!="",1,IF(#REF!="(blank)",--(S10=""),IF(#REF!="(nonblank)",--(S10&lt;&gt;""),--ISNUMBER(SEARCH(#REF!,S10)))))</f>
        <v>#REF!</v>
      </c>
      <c r="BE10" t="e">
        <f>IF(#REF!="",1,IF(#REF!="(blank)",--(T10=""),IF(#REF!="(nonblank)",--(T10&lt;&gt;""),--ISNUMBER(SEARCH(#REF!,T10)))))</f>
        <v>#REF!</v>
      </c>
      <c r="BF10" t="e">
        <f>IF(#REF!="",1,IF(#REF!="(blank)",--(U10=""),IF(#REF!="(nonblank)",--(U10&lt;&gt;""),--ISNUMBER(SEARCH(#REF!,U10)))))</f>
        <v>#REF!</v>
      </c>
      <c r="BG10" t="e">
        <f>IF(#REF!="",1,IF(#REF!="(blank)",--(V10=""),IF(#REF!="(nonblank)",--(V10&lt;&gt;""),--ISNUMBER(SEARCH(#REF!,V10)))))</f>
        <v>#REF!</v>
      </c>
      <c r="BH10" t="e">
        <f>IF(#REF!="",1,IF(#REF!="(blank)",--(W10=""),IF(#REF!="(nonblank)",--(W10&lt;&gt;""),--ISNUMBER(SEARCH(#REF!,W10)))))</f>
        <v>#REF!</v>
      </c>
      <c r="BI10" t="e">
        <f>IF(#REF!="",1,IF(#REF!="(blank)",--(X10=""),IF(#REF!="(nonblank)",--(X10&lt;&gt;""),--ISNUMBER(SEARCH(#REF!,X10)))))</f>
        <v>#REF!</v>
      </c>
      <c r="BJ10" t="e">
        <f>IF(#REF!="",1,IF(#REF!="(blank)",--(Y10=""),IF(#REF!="(nonblank)",--(Y10&lt;&gt;""),--ISNUMBER(SEARCH(#REF!,Y10)))))</f>
        <v>#REF!</v>
      </c>
      <c r="BK10" t="e">
        <f>IF(#REF!="",1,IF(#REF!="(blank)",--(Z10=""),IF(#REF!="(nonblank)",--(Z10&lt;&gt;""),--ISNUMBER(SEARCH(#REF!,Z10)))))</f>
        <v>#REF!</v>
      </c>
      <c r="BL10" t="e">
        <f>IF(#REF!="",1,IF(#REF!="(blank)",--(AA10=""),IF(#REF!="(nonblank)",--(AA10&lt;&gt;""),--ISNUMBER(SEARCH(#REF!,AA10)))))</f>
        <v>#REF!</v>
      </c>
      <c r="BM10" t="e">
        <f>IF(#REF!="",1,IF(#REF!="(blank)",--(AB10=""),IF(#REF!="(nonblank)",--(AB10&lt;&gt;""),--ISNUMBER(SEARCH(#REF!,AB10)))))</f>
        <v>#REF!</v>
      </c>
      <c r="BN10" t="e">
        <f>IF(#REF!="",1,IF(#REF!="(blank)",--(AC10=""),IF(#REF!="(nonblank)",--(AC10&lt;&gt;""),--ISNUMBER(SEARCH(#REF!,AC10)))))</f>
        <v>#REF!</v>
      </c>
      <c r="BO10" t="e">
        <f>IF(#REF!="",1,IF(#REF!="(blank)",--(AD10=""),IF(#REF!="(nonblank)",--(AD10&lt;&gt;""),--ISNUMBER(SEARCH(#REF!,AD10)))))</f>
        <v>#REF!</v>
      </c>
      <c r="BP10" t="e">
        <f>IF(#REF!="",1,IF(#REF!="(blank)",--(AE10=""),IF(#REF!="(nonblank)",--(AE10&lt;&gt;""),--ISNUMBER(SEARCH(#REF!,AE10)))))</f>
        <v>#REF!</v>
      </c>
      <c r="BQ10" t="e">
        <f>IF(#REF!="",1,IF(#REF!="(blank)",--(AF10=""),IF(#REF!="(nonblank)",--(AF10&lt;&gt;""),--ISNUMBER(SEARCH(#REF!,AF10)))))</f>
        <v>#REF!</v>
      </c>
      <c r="BR10" t="e">
        <f>IF(#REF!="",1,IF(#REF!="(blank)",--(AG10=""),IF(#REF!="(nonblank)",--(AG10&lt;&gt;""),--ISNUMBER(SEARCH(#REF!,AG10)))))</f>
        <v>#REF!</v>
      </c>
      <c r="BS10" t="e">
        <f>IF(#REF!="",1,IF(#REF!="(blank)",--(AH10=""),IF(#REF!="(nonblank)",--(AH10&lt;&gt;""),--ISNUMBER(SEARCH(#REF!,AH10)))))</f>
        <v>#REF!</v>
      </c>
      <c r="BT10">
        <f t="shared" si="16"/>
        <v>1</v>
      </c>
    </row>
    <row r="11" spans="1:72" ht="14.25" customHeight="1" x14ac:dyDescent="0.3">
      <c r="A11" s="19">
        <v>25</v>
      </c>
      <c r="B11" s="20" t="s">
        <v>64</v>
      </c>
      <c r="C11" s="21">
        <v>700</v>
      </c>
      <c r="D11" s="22">
        <v>21977</v>
      </c>
      <c r="E11" s="22" t="s">
        <v>38</v>
      </c>
      <c r="F11" s="22">
        <v>2006</v>
      </c>
      <c r="G11" s="20" t="s">
        <v>65</v>
      </c>
      <c r="H11" s="23">
        <v>17500</v>
      </c>
      <c r="I11" s="23">
        <f t="shared" si="0"/>
        <v>3150</v>
      </c>
      <c r="J11" s="23">
        <f t="shared" si="1"/>
        <v>20650</v>
      </c>
      <c r="K11" s="23">
        <f t="shared" si="2"/>
        <v>413</v>
      </c>
      <c r="L11" s="24">
        <f t="shared" si="3"/>
        <v>17.5</v>
      </c>
      <c r="M11" s="24">
        <f t="shared" si="4"/>
        <v>464.625</v>
      </c>
      <c r="N11" s="25">
        <f t="shared" si="5"/>
        <v>7.875</v>
      </c>
      <c r="O11" s="24">
        <f t="shared" si="6"/>
        <v>456.75</v>
      </c>
      <c r="P11" s="24">
        <f t="shared" si="7"/>
        <v>474</v>
      </c>
      <c r="Q11" s="26">
        <v>0</v>
      </c>
      <c r="R11" s="24">
        <f t="shared" si="8"/>
        <v>0</v>
      </c>
      <c r="S11" s="23">
        <f t="shared" ca="1" si="9"/>
        <v>20589</v>
      </c>
      <c r="T11" s="24">
        <f t="shared" si="10"/>
        <v>4375</v>
      </c>
      <c r="U11" s="27">
        <v>4375</v>
      </c>
      <c r="V11" s="24" t="s">
        <v>45</v>
      </c>
      <c r="W11" s="24">
        <f t="shared" si="11"/>
        <v>16214</v>
      </c>
      <c r="X11" s="24">
        <v>16214</v>
      </c>
      <c r="Y11" s="24" t="s">
        <v>45</v>
      </c>
      <c r="Z11" s="24">
        <f t="shared" ca="1" si="12"/>
        <v>0</v>
      </c>
      <c r="AA11" s="24"/>
      <c r="AB11" s="24"/>
      <c r="AC11" s="28">
        <f t="shared" si="13"/>
        <v>20589</v>
      </c>
      <c r="AD11" s="28">
        <f t="shared" ca="1" si="14"/>
        <v>0</v>
      </c>
      <c r="AE11" s="24" t="str">
        <f t="shared" ca="1" si="15"/>
        <v>SETTLED</v>
      </c>
      <c r="AF11" s="24" t="s">
        <v>66</v>
      </c>
      <c r="AG11" s="29">
        <v>1800003156</v>
      </c>
      <c r="AH11" s="30" t="s">
        <v>52</v>
      </c>
      <c r="AL11" t="e">
        <f>IF(#REF!="",1,IF(#REF!="(blank)",--(A11=""),IF(#REF!="(nonblank)",--(A11&lt;&gt;""),--ISNUMBER(SEARCH(#REF!,A11)))))</f>
        <v>#REF!</v>
      </c>
      <c r="AM11" t="e">
        <f>IF(#REF!="",1,IF(#REF!="(blank)",--(B11=""),IF(#REF!="(nonblank)",--(B11&lt;&gt;""),--ISNUMBER(SEARCH(#REF!,B11)))))</f>
        <v>#REF!</v>
      </c>
      <c r="AN11" t="e">
        <f>IF(#REF!="",1,IF(#REF!="(blank)",--(C11=""),IF(#REF!="(nonblank)",--(C11&lt;&gt;""),--ISNUMBER(SEARCH(#REF!,C11)))))</f>
        <v>#REF!</v>
      </c>
      <c r="AO11" t="e">
        <f>IF(#REF!="",1,IF(#REF!="(blank)",--(D11=""),IF(#REF!="(nonblank)",--(D11&lt;&gt;""),--ISNUMBER(SEARCH(#REF!,D11)))))</f>
        <v>#REF!</v>
      </c>
      <c r="AP11" t="e">
        <f>IF(#REF!="",1,IF(#REF!="(blank)",--(E11=""),IF(#REF!="(nonblank)",--(E11&lt;&gt;""),--ISNUMBER(SEARCH(#REF!,E11)))))</f>
        <v>#REF!</v>
      </c>
      <c r="AQ11" t="e">
        <f>IF(#REF!="",1,IF(#REF!="(blank)",--(F11=""),IF(#REF!="(nonblank)",--(F11&lt;&gt;""),--ISNUMBER(SEARCH(#REF!,F11)))))</f>
        <v>#REF!</v>
      </c>
      <c r="AR11" t="e">
        <f>IF(#REF!="",1,IF(#REF!="(blank)",--(G11=""),IF(#REF!="(nonblank)",--(G11&lt;&gt;""),--ISNUMBER(SEARCH(#REF!,G11)))))</f>
        <v>#REF!</v>
      </c>
      <c r="AS11" t="e">
        <f>IF(#REF!="",1,IF(#REF!="(blank)",--(H11=""),IF(#REF!="(nonblank)",--(H11&lt;&gt;""),--ISNUMBER(SEARCH(#REF!,H11)))))</f>
        <v>#REF!</v>
      </c>
      <c r="AT11" t="e">
        <f>IF(#REF!="",1,IF(#REF!="(blank)",--(I11=""),IF(#REF!="(nonblank)",--(I11&lt;&gt;""),--ISNUMBER(SEARCH(#REF!,I11)))))</f>
        <v>#REF!</v>
      </c>
      <c r="AU11" t="e">
        <f>IF(#REF!="",1,IF(#REF!="(blank)",--(J11=""),IF(#REF!="(nonblank)",--(J11&lt;&gt;""),--ISNUMBER(SEARCH(#REF!,J11)))))</f>
        <v>#REF!</v>
      </c>
      <c r="AV11" t="e">
        <f>IF(#REF!="",1,IF(#REF!="(blank)",--(K11=""),IF(#REF!="(nonblank)",--(K11&lt;&gt;""),--ISNUMBER(SEARCH(#REF!,K11)))))</f>
        <v>#REF!</v>
      </c>
      <c r="AW11" t="e">
        <f>IF(#REF!="",1,IF(#REF!="(blank)",--(L11=""),IF(#REF!="(nonblank)",--(L11&lt;&gt;""),--ISNUMBER(SEARCH(#REF!,L11)))))</f>
        <v>#REF!</v>
      </c>
      <c r="AX11" t="e">
        <f>IF(#REF!="",1,IF(#REF!="(blank)",--(M11=""),IF(#REF!="(nonblank)",--(M11&lt;&gt;""),--ISNUMBER(SEARCH(#REF!,M11)))))</f>
        <v>#REF!</v>
      </c>
      <c r="AY11" t="e">
        <f>IF(#REF!="",1,IF(#REF!="(blank)",--(N11=""),IF(#REF!="(nonblank)",--(N11&lt;&gt;""),--ISNUMBER(SEARCH(#REF!,N11)))))</f>
        <v>#REF!</v>
      </c>
      <c r="AZ11" t="e">
        <f>IF(#REF!="",1,IF(#REF!="(blank)",--(O11=""),IF(#REF!="(nonblank)",--(O11&lt;&gt;""),--ISNUMBER(SEARCH(#REF!,O11)))))</f>
        <v>#REF!</v>
      </c>
      <c r="BA11" t="e">
        <f>IF(#REF!="",1,IF(#REF!="(blank)",--(P11=""),IF(#REF!="(nonblank)",--(P11&lt;&gt;""),--ISNUMBER(SEARCH(#REF!,P11)))))</f>
        <v>#REF!</v>
      </c>
      <c r="BB11" t="e">
        <f>IF(#REF!="",1,IF(#REF!="(blank)",--(Q11=""),IF(#REF!="(nonblank)",--(Q11&lt;&gt;""),--ISNUMBER(SEARCH(#REF!,Q11)))))</f>
        <v>#REF!</v>
      </c>
      <c r="BC11" t="e">
        <f>IF(#REF!="",1,IF(#REF!="(blank)",--(R11=""),IF(#REF!="(nonblank)",--(R11&lt;&gt;""),--ISNUMBER(SEARCH(#REF!,R11)))))</f>
        <v>#REF!</v>
      </c>
      <c r="BD11" t="e">
        <f>IF(#REF!="",1,IF(#REF!="(blank)",--(S11=""),IF(#REF!="(nonblank)",--(S11&lt;&gt;""),--ISNUMBER(SEARCH(#REF!,S11)))))</f>
        <v>#REF!</v>
      </c>
      <c r="BE11" t="e">
        <f>IF(#REF!="",1,IF(#REF!="(blank)",--(T11=""),IF(#REF!="(nonblank)",--(T11&lt;&gt;""),--ISNUMBER(SEARCH(#REF!,T11)))))</f>
        <v>#REF!</v>
      </c>
      <c r="BF11" t="e">
        <f>IF(#REF!="",1,IF(#REF!="(blank)",--(U11=""),IF(#REF!="(nonblank)",--(U11&lt;&gt;""),--ISNUMBER(SEARCH(#REF!,U11)))))</f>
        <v>#REF!</v>
      </c>
      <c r="BG11" t="e">
        <f>IF(#REF!="",1,IF(#REF!="(blank)",--(V11=""),IF(#REF!="(nonblank)",--(V11&lt;&gt;""),--ISNUMBER(SEARCH(#REF!,V11)))))</f>
        <v>#REF!</v>
      </c>
      <c r="BH11" t="e">
        <f>IF(#REF!="",1,IF(#REF!="(blank)",--(W11=""),IF(#REF!="(nonblank)",--(W11&lt;&gt;""),--ISNUMBER(SEARCH(#REF!,W11)))))</f>
        <v>#REF!</v>
      </c>
      <c r="BI11" t="e">
        <f>IF(#REF!="",1,IF(#REF!="(blank)",--(X11=""),IF(#REF!="(nonblank)",--(X11&lt;&gt;""),--ISNUMBER(SEARCH(#REF!,X11)))))</f>
        <v>#REF!</v>
      </c>
      <c r="BJ11" t="e">
        <f>IF(#REF!="",1,IF(#REF!="(blank)",--(Y11=""),IF(#REF!="(nonblank)",--(Y11&lt;&gt;""),--ISNUMBER(SEARCH(#REF!,Y11)))))</f>
        <v>#REF!</v>
      </c>
      <c r="BK11" t="e">
        <f>IF(#REF!="",1,IF(#REF!="(blank)",--(Z11=""),IF(#REF!="(nonblank)",--(Z11&lt;&gt;""),--ISNUMBER(SEARCH(#REF!,Z11)))))</f>
        <v>#REF!</v>
      </c>
      <c r="BL11" t="e">
        <f>IF(#REF!="",1,IF(#REF!="(blank)",--(AA11=""),IF(#REF!="(nonblank)",--(AA11&lt;&gt;""),--ISNUMBER(SEARCH(#REF!,AA11)))))</f>
        <v>#REF!</v>
      </c>
      <c r="BM11" t="e">
        <f>IF(#REF!="",1,IF(#REF!="(blank)",--(AB11=""),IF(#REF!="(nonblank)",--(AB11&lt;&gt;""),--ISNUMBER(SEARCH(#REF!,AB11)))))</f>
        <v>#REF!</v>
      </c>
      <c r="BN11" t="e">
        <f>IF(#REF!="",1,IF(#REF!="(blank)",--(AC11=""),IF(#REF!="(nonblank)",--(AC11&lt;&gt;""),--ISNUMBER(SEARCH(#REF!,AC11)))))</f>
        <v>#REF!</v>
      </c>
      <c r="BO11" t="e">
        <f>IF(#REF!="",1,IF(#REF!="(blank)",--(AD11=""),IF(#REF!="(nonblank)",--(AD11&lt;&gt;""),--ISNUMBER(SEARCH(#REF!,AD11)))))</f>
        <v>#REF!</v>
      </c>
      <c r="BP11" t="e">
        <f>IF(#REF!="",1,IF(#REF!="(blank)",--(AE11=""),IF(#REF!="(nonblank)",--(AE11&lt;&gt;""),--ISNUMBER(SEARCH(#REF!,AE11)))))</f>
        <v>#REF!</v>
      </c>
      <c r="BQ11" t="e">
        <f>IF(#REF!="",1,IF(#REF!="(blank)",--(AF11=""),IF(#REF!="(nonblank)",--(AF11&lt;&gt;""),--ISNUMBER(SEARCH(#REF!,AF11)))))</f>
        <v>#REF!</v>
      </c>
      <c r="BR11" t="e">
        <f>IF(#REF!="",1,IF(#REF!="(blank)",--(AG11=""),IF(#REF!="(nonblank)",--(AG11&lt;&gt;""),--ISNUMBER(SEARCH(#REF!,AG11)))))</f>
        <v>#REF!</v>
      </c>
      <c r="BS11" t="e">
        <f>IF(#REF!="",1,IF(#REF!="(blank)",--(AH11=""),IF(#REF!="(nonblank)",--(AH11&lt;&gt;""),--ISNUMBER(SEARCH(#REF!,AH11)))))</f>
        <v>#REF!</v>
      </c>
      <c r="BT11">
        <f t="shared" si="16"/>
        <v>1</v>
      </c>
    </row>
    <row r="12" spans="1:72" ht="14.25" customHeight="1" x14ac:dyDescent="0.3">
      <c r="A12" s="31">
        <v>1</v>
      </c>
      <c r="B12" s="32" t="s">
        <v>67</v>
      </c>
      <c r="C12" s="33">
        <v>3857116</v>
      </c>
      <c r="D12" s="34">
        <v>21977</v>
      </c>
      <c r="E12" s="34" t="s">
        <v>38</v>
      </c>
      <c r="F12" s="34">
        <v>2007</v>
      </c>
      <c r="G12" s="32" t="s">
        <v>55</v>
      </c>
      <c r="H12" s="35">
        <v>3857116</v>
      </c>
      <c r="I12" s="35">
        <f t="shared" si="0"/>
        <v>694281</v>
      </c>
      <c r="J12" s="35">
        <f t="shared" si="1"/>
        <v>4551397</v>
      </c>
      <c r="K12" s="35">
        <f t="shared" si="2"/>
        <v>91028</v>
      </c>
      <c r="L12" s="36">
        <f t="shared" si="3"/>
        <v>3857.116</v>
      </c>
      <c r="M12" s="36">
        <f t="shared" si="4"/>
        <v>102406.4298</v>
      </c>
      <c r="N12" s="37">
        <f t="shared" si="5"/>
        <v>1735.7021999999999</v>
      </c>
      <c r="O12" s="36">
        <f t="shared" si="6"/>
        <v>100670.7276</v>
      </c>
      <c r="P12" s="36">
        <f t="shared" si="7"/>
        <v>104528</v>
      </c>
      <c r="Q12" s="38">
        <v>0</v>
      </c>
      <c r="R12" s="36">
        <f t="shared" si="8"/>
        <v>0</v>
      </c>
      <c r="S12" s="23">
        <f t="shared" ca="1" si="9"/>
        <v>4537897</v>
      </c>
      <c r="T12" s="36">
        <f t="shared" si="10"/>
        <v>964279</v>
      </c>
      <c r="U12" s="39">
        <f>+T12</f>
        <v>964279</v>
      </c>
      <c r="V12" s="36" t="s">
        <v>40</v>
      </c>
      <c r="W12" s="36">
        <f t="shared" si="11"/>
        <v>3573618</v>
      </c>
      <c r="X12" s="36">
        <v>3573618.9057083898</v>
      </c>
      <c r="Y12" s="36" t="s">
        <v>40</v>
      </c>
      <c r="Z12" s="36">
        <f t="shared" ca="1" si="12"/>
        <v>0</v>
      </c>
      <c r="AA12" s="36"/>
      <c r="AB12" s="36"/>
      <c r="AC12" s="11">
        <f t="shared" si="13"/>
        <v>4537897.9057083894</v>
      </c>
      <c r="AD12" s="15">
        <f t="shared" ca="1" si="14"/>
        <v>-0.90570838935673237</v>
      </c>
      <c r="AE12" s="16" t="str">
        <f t="shared" ca="1" si="15"/>
        <v>SETTLED</v>
      </c>
      <c r="AF12" s="16" t="s">
        <v>68</v>
      </c>
      <c r="AG12" s="17">
        <v>1800003196</v>
      </c>
      <c r="AH12" s="18" t="s">
        <v>57</v>
      </c>
      <c r="AL12" t="e">
        <f>IF(#REF!="",1,IF(#REF!="(blank)",--(A12=""),IF(#REF!="(nonblank)",--(A12&lt;&gt;""),--ISNUMBER(SEARCH(#REF!,A12)))))</f>
        <v>#REF!</v>
      </c>
      <c r="AM12" t="e">
        <f>IF(#REF!="",1,IF(#REF!="(blank)",--(B12=""),IF(#REF!="(nonblank)",--(B12&lt;&gt;""),--ISNUMBER(SEARCH(#REF!,B12)))))</f>
        <v>#REF!</v>
      </c>
      <c r="AN12" t="e">
        <f>IF(#REF!="",1,IF(#REF!="(blank)",--(C12=""),IF(#REF!="(nonblank)",--(C12&lt;&gt;""),--ISNUMBER(SEARCH(#REF!,C12)))))</f>
        <v>#REF!</v>
      </c>
      <c r="AO12" t="e">
        <f>IF(#REF!="",1,IF(#REF!="(blank)",--(D12=""),IF(#REF!="(nonblank)",--(D12&lt;&gt;""),--ISNUMBER(SEARCH(#REF!,D12)))))</f>
        <v>#REF!</v>
      </c>
      <c r="AP12" t="e">
        <f>IF(#REF!="",1,IF(#REF!="(blank)",--(E12=""),IF(#REF!="(nonblank)",--(E12&lt;&gt;""),--ISNUMBER(SEARCH(#REF!,E12)))))</f>
        <v>#REF!</v>
      </c>
      <c r="AQ12" t="e">
        <f>IF(#REF!="",1,IF(#REF!="(blank)",--(F12=""),IF(#REF!="(nonblank)",--(F12&lt;&gt;""),--ISNUMBER(SEARCH(#REF!,F12)))))</f>
        <v>#REF!</v>
      </c>
      <c r="AR12" t="e">
        <f>IF(#REF!="",1,IF(#REF!="(blank)",--(G12=""),IF(#REF!="(nonblank)",--(G12&lt;&gt;""),--ISNUMBER(SEARCH(#REF!,G12)))))</f>
        <v>#REF!</v>
      </c>
      <c r="AS12" t="e">
        <f>IF(#REF!="",1,IF(#REF!="(blank)",--(H12=""),IF(#REF!="(nonblank)",--(H12&lt;&gt;""),--ISNUMBER(SEARCH(#REF!,H12)))))</f>
        <v>#REF!</v>
      </c>
      <c r="AT12" t="e">
        <f>IF(#REF!="",1,IF(#REF!="(blank)",--(I12=""),IF(#REF!="(nonblank)",--(I12&lt;&gt;""),--ISNUMBER(SEARCH(#REF!,I12)))))</f>
        <v>#REF!</v>
      </c>
      <c r="AU12" t="e">
        <f>IF(#REF!="",1,IF(#REF!="(blank)",--(J12=""),IF(#REF!="(nonblank)",--(J12&lt;&gt;""),--ISNUMBER(SEARCH(#REF!,J12)))))</f>
        <v>#REF!</v>
      </c>
      <c r="AV12" t="e">
        <f>IF(#REF!="",1,IF(#REF!="(blank)",--(K12=""),IF(#REF!="(nonblank)",--(K12&lt;&gt;""),--ISNUMBER(SEARCH(#REF!,K12)))))</f>
        <v>#REF!</v>
      </c>
      <c r="AW12" t="e">
        <f>IF(#REF!="",1,IF(#REF!="(blank)",--(L12=""),IF(#REF!="(nonblank)",--(L12&lt;&gt;""),--ISNUMBER(SEARCH(#REF!,L12)))))</f>
        <v>#REF!</v>
      </c>
      <c r="AX12" t="e">
        <f>IF(#REF!="",1,IF(#REF!="(blank)",--(M12=""),IF(#REF!="(nonblank)",--(M12&lt;&gt;""),--ISNUMBER(SEARCH(#REF!,M12)))))</f>
        <v>#REF!</v>
      </c>
      <c r="AY12" t="e">
        <f>IF(#REF!="",1,IF(#REF!="(blank)",--(N12=""),IF(#REF!="(nonblank)",--(N12&lt;&gt;""),--ISNUMBER(SEARCH(#REF!,N12)))))</f>
        <v>#REF!</v>
      </c>
      <c r="AZ12" t="e">
        <f>IF(#REF!="",1,IF(#REF!="(blank)",--(O12=""),IF(#REF!="(nonblank)",--(O12&lt;&gt;""),--ISNUMBER(SEARCH(#REF!,O12)))))</f>
        <v>#REF!</v>
      </c>
      <c r="BA12" t="e">
        <f>IF(#REF!="",1,IF(#REF!="(blank)",--(P12=""),IF(#REF!="(nonblank)",--(P12&lt;&gt;""),--ISNUMBER(SEARCH(#REF!,P12)))))</f>
        <v>#REF!</v>
      </c>
      <c r="BB12" t="e">
        <f>IF(#REF!="",1,IF(#REF!="(blank)",--(Q12=""),IF(#REF!="(nonblank)",--(Q12&lt;&gt;""),--ISNUMBER(SEARCH(#REF!,Q12)))))</f>
        <v>#REF!</v>
      </c>
      <c r="BC12" t="e">
        <f>IF(#REF!="",1,IF(#REF!="(blank)",--(R12=""),IF(#REF!="(nonblank)",--(R12&lt;&gt;""),--ISNUMBER(SEARCH(#REF!,R12)))))</f>
        <v>#REF!</v>
      </c>
      <c r="BD12" t="e">
        <f>IF(#REF!="",1,IF(#REF!="(blank)",--(S12=""),IF(#REF!="(nonblank)",--(S12&lt;&gt;""),--ISNUMBER(SEARCH(#REF!,S12)))))</f>
        <v>#REF!</v>
      </c>
      <c r="BE12" t="e">
        <f>IF(#REF!="",1,IF(#REF!="(blank)",--(T12=""),IF(#REF!="(nonblank)",--(T12&lt;&gt;""),--ISNUMBER(SEARCH(#REF!,T12)))))</f>
        <v>#REF!</v>
      </c>
      <c r="BF12" t="e">
        <f>IF(#REF!="",1,IF(#REF!="(blank)",--(U12=""),IF(#REF!="(nonblank)",--(U12&lt;&gt;""),--ISNUMBER(SEARCH(#REF!,U12)))))</f>
        <v>#REF!</v>
      </c>
      <c r="BG12" t="e">
        <f>IF(#REF!="",1,IF(#REF!="(blank)",--(V12=""),IF(#REF!="(nonblank)",--(V12&lt;&gt;""),--ISNUMBER(SEARCH(#REF!,V12)))))</f>
        <v>#REF!</v>
      </c>
      <c r="BH12" t="e">
        <f>IF(#REF!="",1,IF(#REF!="(blank)",--(W12=""),IF(#REF!="(nonblank)",--(W12&lt;&gt;""),--ISNUMBER(SEARCH(#REF!,W12)))))</f>
        <v>#REF!</v>
      </c>
      <c r="BI12" t="e">
        <f>IF(#REF!="",1,IF(#REF!="(blank)",--(X12=""),IF(#REF!="(nonblank)",--(X12&lt;&gt;""),--ISNUMBER(SEARCH(#REF!,X12)))))</f>
        <v>#REF!</v>
      </c>
      <c r="BJ12" t="e">
        <f>IF(#REF!="",1,IF(#REF!="(blank)",--(Y12=""),IF(#REF!="(nonblank)",--(Y12&lt;&gt;""),--ISNUMBER(SEARCH(#REF!,Y12)))))</f>
        <v>#REF!</v>
      </c>
      <c r="BK12" t="e">
        <f>IF(#REF!="",1,IF(#REF!="(blank)",--(Z12=""),IF(#REF!="(nonblank)",--(Z12&lt;&gt;""),--ISNUMBER(SEARCH(#REF!,Z12)))))</f>
        <v>#REF!</v>
      </c>
      <c r="BL12" t="e">
        <f>IF(#REF!="",1,IF(#REF!="(blank)",--(AA12=""),IF(#REF!="(nonblank)",--(AA12&lt;&gt;""),--ISNUMBER(SEARCH(#REF!,AA12)))))</f>
        <v>#REF!</v>
      </c>
      <c r="BM12" t="e">
        <f>IF(#REF!="",1,IF(#REF!="(blank)",--(AB12=""),IF(#REF!="(nonblank)",--(AB12&lt;&gt;""),--ISNUMBER(SEARCH(#REF!,AB12)))))</f>
        <v>#REF!</v>
      </c>
      <c r="BN12" t="e">
        <f>IF(#REF!="",1,IF(#REF!="(blank)",--(AC12=""),IF(#REF!="(nonblank)",--(AC12&lt;&gt;""),--ISNUMBER(SEARCH(#REF!,AC12)))))</f>
        <v>#REF!</v>
      </c>
      <c r="BO12" t="e">
        <f>IF(#REF!="",1,IF(#REF!="(blank)",--(AD12=""),IF(#REF!="(nonblank)",--(AD12&lt;&gt;""),--ISNUMBER(SEARCH(#REF!,AD12)))))</f>
        <v>#REF!</v>
      </c>
      <c r="BP12" t="e">
        <f>IF(#REF!="",1,IF(#REF!="(blank)",--(AE12=""),IF(#REF!="(nonblank)",--(AE12&lt;&gt;""),--ISNUMBER(SEARCH(#REF!,AE12)))))</f>
        <v>#REF!</v>
      </c>
      <c r="BQ12" t="e">
        <f>IF(#REF!="",1,IF(#REF!="(blank)",--(AF12=""),IF(#REF!="(nonblank)",--(AF12&lt;&gt;""),--ISNUMBER(SEARCH(#REF!,AF12)))))</f>
        <v>#REF!</v>
      </c>
      <c r="BR12" t="e">
        <f>IF(#REF!="",1,IF(#REF!="(blank)",--(AG12=""),IF(#REF!="(nonblank)",--(AG12&lt;&gt;""),--ISNUMBER(SEARCH(#REF!,AG12)))))</f>
        <v>#REF!</v>
      </c>
      <c r="BS12" t="e">
        <f>IF(#REF!="",1,IF(#REF!="(blank)",--(AH12=""),IF(#REF!="(nonblank)",--(AH12&lt;&gt;""),--ISNUMBER(SEARCH(#REF!,AH12)))))</f>
        <v>#REF!</v>
      </c>
      <c r="BT12">
        <f t="shared" si="16"/>
        <v>1</v>
      </c>
    </row>
    <row r="13" spans="1:72" ht="14.25" customHeight="1" x14ac:dyDescent="0.3">
      <c r="A13" s="19">
        <v>250</v>
      </c>
      <c r="B13" s="20" t="s">
        <v>69</v>
      </c>
      <c r="C13" s="21">
        <v>543</v>
      </c>
      <c r="D13" s="22">
        <v>21977</v>
      </c>
      <c r="E13" s="22" t="s">
        <v>38</v>
      </c>
      <c r="F13" s="22">
        <v>2008</v>
      </c>
      <c r="G13" s="20" t="s">
        <v>70</v>
      </c>
      <c r="H13" s="23">
        <v>135750</v>
      </c>
      <c r="I13" s="23">
        <f t="shared" si="0"/>
        <v>24435</v>
      </c>
      <c r="J13" s="23">
        <f t="shared" si="1"/>
        <v>160185</v>
      </c>
      <c r="K13" s="23">
        <f t="shared" si="2"/>
        <v>3204</v>
      </c>
      <c r="L13" s="24">
        <f t="shared" si="3"/>
        <v>135.75</v>
      </c>
      <c r="M13" s="24">
        <f t="shared" si="4"/>
        <v>3604.1624999999999</v>
      </c>
      <c r="N13" s="25">
        <f t="shared" si="5"/>
        <v>61.087499999999999</v>
      </c>
      <c r="O13" s="24">
        <f t="shared" si="6"/>
        <v>3543.0749999999998</v>
      </c>
      <c r="P13" s="24">
        <f t="shared" si="7"/>
        <v>3679</v>
      </c>
      <c r="Q13" s="26">
        <v>0</v>
      </c>
      <c r="R13" s="24">
        <f t="shared" si="8"/>
        <v>0</v>
      </c>
      <c r="S13" s="23">
        <f t="shared" ca="1" si="9"/>
        <v>159710</v>
      </c>
      <c r="T13" s="24">
        <f t="shared" si="10"/>
        <v>33938</v>
      </c>
      <c r="U13" s="27">
        <v>33938</v>
      </c>
      <c r="V13" s="24" t="s">
        <v>52</v>
      </c>
      <c r="W13" s="24">
        <f t="shared" si="11"/>
        <v>125772</v>
      </c>
      <c r="X13" s="24">
        <v>125772</v>
      </c>
      <c r="Y13" s="24" t="s">
        <v>35</v>
      </c>
      <c r="Z13" s="24">
        <f t="shared" ca="1" si="12"/>
        <v>0</v>
      </c>
      <c r="AA13" s="24"/>
      <c r="AB13" s="24"/>
      <c r="AC13" s="28">
        <f t="shared" si="13"/>
        <v>159710</v>
      </c>
      <c r="AD13" s="28">
        <f t="shared" ca="1" si="14"/>
        <v>0</v>
      </c>
      <c r="AE13" s="24" t="str">
        <f t="shared" ca="1" si="15"/>
        <v>SETTLED</v>
      </c>
      <c r="AF13" s="24" t="s">
        <v>71</v>
      </c>
      <c r="AG13" s="29">
        <v>1800003247</v>
      </c>
      <c r="AH13" s="30" t="s">
        <v>46</v>
      </c>
      <c r="AL13" t="e">
        <f>IF(#REF!="",1,IF(#REF!="(blank)",--(A13=""),IF(#REF!="(nonblank)",--(A13&lt;&gt;""),--ISNUMBER(SEARCH(#REF!,A13)))))</f>
        <v>#REF!</v>
      </c>
      <c r="AM13" t="e">
        <f>IF(#REF!="",1,IF(#REF!="(blank)",--(B13=""),IF(#REF!="(nonblank)",--(B13&lt;&gt;""),--ISNUMBER(SEARCH(#REF!,B13)))))</f>
        <v>#REF!</v>
      </c>
      <c r="AN13" t="e">
        <f>IF(#REF!="",1,IF(#REF!="(blank)",--(C13=""),IF(#REF!="(nonblank)",--(C13&lt;&gt;""),--ISNUMBER(SEARCH(#REF!,C13)))))</f>
        <v>#REF!</v>
      </c>
      <c r="AO13" t="e">
        <f>IF(#REF!="",1,IF(#REF!="(blank)",--(D13=""),IF(#REF!="(nonblank)",--(D13&lt;&gt;""),--ISNUMBER(SEARCH(#REF!,D13)))))</f>
        <v>#REF!</v>
      </c>
      <c r="AP13" t="e">
        <f>IF(#REF!="",1,IF(#REF!="(blank)",--(E13=""),IF(#REF!="(nonblank)",--(E13&lt;&gt;""),--ISNUMBER(SEARCH(#REF!,E13)))))</f>
        <v>#REF!</v>
      </c>
      <c r="AQ13" t="e">
        <f>IF(#REF!="",1,IF(#REF!="(blank)",--(F13=""),IF(#REF!="(nonblank)",--(F13&lt;&gt;""),--ISNUMBER(SEARCH(#REF!,F13)))))</f>
        <v>#REF!</v>
      </c>
      <c r="AR13" t="e">
        <f>IF(#REF!="",1,IF(#REF!="(blank)",--(G13=""),IF(#REF!="(nonblank)",--(G13&lt;&gt;""),--ISNUMBER(SEARCH(#REF!,G13)))))</f>
        <v>#REF!</v>
      </c>
      <c r="AS13" t="e">
        <f>IF(#REF!="",1,IF(#REF!="(blank)",--(H13=""),IF(#REF!="(nonblank)",--(H13&lt;&gt;""),--ISNUMBER(SEARCH(#REF!,H13)))))</f>
        <v>#REF!</v>
      </c>
      <c r="AT13" t="e">
        <f>IF(#REF!="",1,IF(#REF!="(blank)",--(I13=""),IF(#REF!="(nonblank)",--(I13&lt;&gt;""),--ISNUMBER(SEARCH(#REF!,I13)))))</f>
        <v>#REF!</v>
      </c>
      <c r="AU13" t="e">
        <f>IF(#REF!="",1,IF(#REF!="(blank)",--(J13=""),IF(#REF!="(nonblank)",--(J13&lt;&gt;""),--ISNUMBER(SEARCH(#REF!,J13)))))</f>
        <v>#REF!</v>
      </c>
      <c r="AV13" t="e">
        <f>IF(#REF!="",1,IF(#REF!="(blank)",--(K13=""),IF(#REF!="(nonblank)",--(K13&lt;&gt;""),--ISNUMBER(SEARCH(#REF!,K13)))))</f>
        <v>#REF!</v>
      </c>
      <c r="AW13" t="e">
        <f>IF(#REF!="",1,IF(#REF!="(blank)",--(L13=""),IF(#REF!="(nonblank)",--(L13&lt;&gt;""),--ISNUMBER(SEARCH(#REF!,L13)))))</f>
        <v>#REF!</v>
      </c>
      <c r="AX13" t="e">
        <f>IF(#REF!="",1,IF(#REF!="(blank)",--(M13=""),IF(#REF!="(nonblank)",--(M13&lt;&gt;""),--ISNUMBER(SEARCH(#REF!,M13)))))</f>
        <v>#REF!</v>
      </c>
      <c r="AY13" t="e">
        <f>IF(#REF!="",1,IF(#REF!="(blank)",--(N13=""),IF(#REF!="(nonblank)",--(N13&lt;&gt;""),--ISNUMBER(SEARCH(#REF!,N13)))))</f>
        <v>#REF!</v>
      </c>
      <c r="AZ13" t="e">
        <f>IF(#REF!="",1,IF(#REF!="(blank)",--(O13=""),IF(#REF!="(nonblank)",--(O13&lt;&gt;""),--ISNUMBER(SEARCH(#REF!,O13)))))</f>
        <v>#REF!</v>
      </c>
      <c r="BA13" t="e">
        <f>IF(#REF!="",1,IF(#REF!="(blank)",--(P13=""),IF(#REF!="(nonblank)",--(P13&lt;&gt;""),--ISNUMBER(SEARCH(#REF!,P13)))))</f>
        <v>#REF!</v>
      </c>
      <c r="BB13" t="e">
        <f>IF(#REF!="",1,IF(#REF!="(blank)",--(Q13=""),IF(#REF!="(nonblank)",--(Q13&lt;&gt;""),--ISNUMBER(SEARCH(#REF!,Q13)))))</f>
        <v>#REF!</v>
      </c>
      <c r="BC13" t="e">
        <f>IF(#REF!="",1,IF(#REF!="(blank)",--(R13=""),IF(#REF!="(nonblank)",--(R13&lt;&gt;""),--ISNUMBER(SEARCH(#REF!,R13)))))</f>
        <v>#REF!</v>
      </c>
      <c r="BD13" t="e">
        <f>IF(#REF!="",1,IF(#REF!="(blank)",--(S13=""),IF(#REF!="(nonblank)",--(S13&lt;&gt;""),--ISNUMBER(SEARCH(#REF!,S13)))))</f>
        <v>#REF!</v>
      </c>
      <c r="BE13" t="e">
        <f>IF(#REF!="",1,IF(#REF!="(blank)",--(T13=""),IF(#REF!="(nonblank)",--(T13&lt;&gt;""),--ISNUMBER(SEARCH(#REF!,T13)))))</f>
        <v>#REF!</v>
      </c>
      <c r="BF13" t="e">
        <f>IF(#REF!="",1,IF(#REF!="(blank)",--(U13=""),IF(#REF!="(nonblank)",--(U13&lt;&gt;""),--ISNUMBER(SEARCH(#REF!,U13)))))</f>
        <v>#REF!</v>
      </c>
      <c r="BG13" t="e">
        <f>IF(#REF!="",1,IF(#REF!="(blank)",--(V13=""),IF(#REF!="(nonblank)",--(V13&lt;&gt;""),--ISNUMBER(SEARCH(#REF!,V13)))))</f>
        <v>#REF!</v>
      </c>
      <c r="BH13" t="e">
        <f>IF(#REF!="",1,IF(#REF!="(blank)",--(W13=""),IF(#REF!="(nonblank)",--(W13&lt;&gt;""),--ISNUMBER(SEARCH(#REF!,W13)))))</f>
        <v>#REF!</v>
      </c>
      <c r="BI13" t="e">
        <f>IF(#REF!="",1,IF(#REF!="(blank)",--(X13=""),IF(#REF!="(nonblank)",--(X13&lt;&gt;""),--ISNUMBER(SEARCH(#REF!,X13)))))</f>
        <v>#REF!</v>
      </c>
      <c r="BJ13" t="e">
        <f>IF(#REF!="",1,IF(#REF!="(blank)",--(Y13=""),IF(#REF!="(nonblank)",--(Y13&lt;&gt;""),--ISNUMBER(SEARCH(#REF!,Y13)))))</f>
        <v>#REF!</v>
      </c>
      <c r="BK13" t="e">
        <f>IF(#REF!="",1,IF(#REF!="(blank)",--(Z13=""),IF(#REF!="(nonblank)",--(Z13&lt;&gt;""),--ISNUMBER(SEARCH(#REF!,Z13)))))</f>
        <v>#REF!</v>
      </c>
      <c r="BL13" t="e">
        <f>IF(#REF!="",1,IF(#REF!="(blank)",--(AA13=""),IF(#REF!="(nonblank)",--(AA13&lt;&gt;""),--ISNUMBER(SEARCH(#REF!,AA13)))))</f>
        <v>#REF!</v>
      </c>
      <c r="BM13" t="e">
        <f>IF(#REF!="",1,IF(#REF!="(blank)",--(AB13=""),IF(#REF!="(nonblank)",--(AB13&lt;&gt;""),--ISNUMBER(SEARCH(#REF!,AB13)))))</f>
        <v>#REF!</v>
      </c>
      <c r="BN13" t="e">
        <f>IF(#REF!="",1,IF(#REF!="(blank)",--(AC13=""),IF(#REF!="(nonblank)",--(AC13&lt;&gt;""),--ISNUMBER(SEARCH(#REF!,AC13)))))</f>
        <v>#REF!</v>
      </c>
      <c r="BO13" t="e">
        <f>IF(#REF!="",1,IF(#REF!="(blank)",--(AD13=""),IF(#REF!="(nonblank)",--(AD13&lt;&gt;""),--ISNUMBER(SEARCH(#REF!,AD13)))))</f>
        <v>#REF!</v>
      </c>
      <c r="BP13" t="e">
        <f>IF(#REF!="",1,IF(#REF!="(blank)",--(AE13=""),IF(#REF!="(nonblank)",--(AE13&lt;&gt;""),--ISNUMBER(SEARCH(#REF!,AE13)))))</f>
        <v>#REF!</v>
      </c>
      <c r="BQ13" t="e">
        <f>IF(#REF!="",1,IF(#REF!="(blank)",--(AF13=""),IF(#REF!="(nonblank)",--(AF13&lt;&gt;""),--ISNUMBER(SEARCH(#REF!,AF13)))))</f>
        <v>#REF!</v>
      </c>
      <c r="BR13" t="e">
        <f>IF(#REF!="",1,IF(#REF!="(blank)",--(AG13=""),IF(#REF!="(nonblank)",--(AG13&lt;&gt;""),--ISNUMBER(SEARCH(#REF!,AG13)))))</f>
        <v>#REF!</v>
      </c>
      <c r="BS13" t="e">
        <f>IF(#REF!="",1,IF(#REF!="(blank)",--(AH13=""),IF(#REF!="(nonblank)",--(AH13&lt;&gt;""),--ISNUMBER(SEARCH(#REF!,AH13)))))</f>
        <v>#REF!</v>
      </c>
      <c r="BT13">
        <f t="shared" si="16"/>
        <v>1</v>
      </c>
    </row>
    <row r="14" spans="1:72" ht="14.25" customHeight="1" x14ac:dyDescent="0.3">
      <c r="A14" s="31">
        <v>22</v>
      </c>
      <c r="B14" s="32" t="s">
        <v>72</v>
      </c>
      <c r="C14" s="33">
        <v>700</v>
      </c>
      <c r="D14" s="34">
        <v>21977</v>
      </c>
      <c r="E14" s="34" t="s">
        <v>38</v>
      </c>
      <c r="F14" s="34">
        <v>2011</v>
      </c>
      <c r="G14" s="32" t="s">
        <v>65</v>
      </c>
      <c r="H14" s="35">
        <v>15400</v>
      </c>
      <c r="I14" s="35">
        <f t="shared" si="0"/>
        <v>2772</v>
      </c>
      <c r="J14" s="35">
        <f t="shared" si="1"/>
        <v>18172</v>
      </c>
      <c r="K14" s="35">
        <f t="shared" si="2"/>
        <v>363</v>
      </c>
      <c r="L14" s="36">
        <f t="shared" si="3"/>
        <v>15.4</v>
      </c>
      <c r="M14" s="36">
        <f t="shared" si="4"/>
        <v>408.87</v>
      </c>
      <c r="N14" s="37">
        <f t="shared" si="5"/>
        <v>6.93</v>
      </c>
      <c r="O14" s="36">
        <f t="shared" si="6"/>
        <v>401.94</v>
      </c>
      <c r="P14" s="36">
        <f t="shared" si="7"/>
        <v>417</v>
      </c>
      <c r="Q14" s="38">
        <v>0</v>
      </c>
      <c r="R14" s="36">
        <f t="shared" si="8"/>
        <v>0</v>
      </c>
      <c r="S14" s="23">
        <f t="shared" ca="1" si="9"/>
        <v>18118</v>
      </c>
      <c r="T14" s="36">
        <f t="shared" si="10"/>
        <v>3850</v>
      </c>
      <c r="U14" s="39">
        <v>3850</v>
      </c>
      <c r="V14" s="36" t="s">
        <v>45</v>
      </c>
      <c r="W14" s="36">
        <f t="shared" si="11"/>
        <v>14268</v>
      </c>
      <c r="X14" s="36">
        <v>14267</v>
      </c>
      <c r="Y14" s="36" t="s">
        <v>45</v>
      </c>
      <c r="Z14" s="36">
        <f t="shared" ca="1" si="12"/>
        <v>0</v>
      </c>
      <c r="AA14" s="36"/>
      <c r="AB14" s="36"/>
      <c r="AC14" s="11">
        <f t="shared" si="13"/>
        <v>18117</v>
      </c>
      <c r="AD14" s="15">
        <f t="shared" ca="1" si="14"/>
        <v>1</v>
      </c>
      <c r="AE14" s="16" t="str">
        <f t="shared" ca="1" si="15"/>
        <v>SETTLED</v>
      </c>
      <c r="AF14" s="16" t="s">
        <v>73</v>
      </c>
      <c r="AG14" s="17">
        <v>1800003157</v>
      </c>
      <c r="AH14" s="18" t="s">
        <v>52</v>
      </c>
      <c r="AL14" t="e">
        <f>IF(#REF!="",1,IF(#REF!="(blank)",--(A14=""),IF(#REF!="(nonblank)",--(A14&lt;&gt;""),--ISNUMBER(SEARCH(#REF!,A14)))))</f>
        <v>#REF!</v>
      </c>
      <c r="AM14" t="e">
        <f>IF(#REF!="",1,IF(#REF!="(blank)",--(B14=""),IF(#REF!="(nonblank)",--(B14&lt;&gt;""),--ISNUMBER(SEARCH(#REF!,B14)))))</f>
        <v>#REF!</v>
      </c>
      <c r="AN14" t="e">
        <f>IF(#REF!="",1,IF(#REF!="(blank)",--(C14=""),IF(#REF!="(nonblank)",--(C14&lt;&gt;""),--ISNUMBER(SEARCH(#REF!,C14)))))</f>
        <v>#REF!</v>
      </c>
      <c r="AO14" t="e">
        <f>IF(#REF!="",1,IF(#REF!="(blank)",--(D14=""),IF(#REF!="(nonblank)",--(D14&lt;&gt;""),--ISNUMBER(SEARCH(#REF!,D14)))))</f>
        <v>#REF!</v>
      </c>
      <c r="AP14" t="e">
        <f>IF(#REF!="",1,IF(#REF!="(blank)",--(E14=""),IF(#REF!="(nonblank)",--(E14&lt;&gt;""),--ISNUMBER(SEARCH(#REF!,E14)))))</f>
        <v>#REF!</v>
      </c>
      <c r="AQ14" t="e">
        <f>IF(#REF!="",1,IF(#REF!="(blank)",--(F14=""),IF(#REF!="(nonblank)",--(F14&lt;&gt;""),--ISNUMBER(SEARCH(#REF!,F14)))))</f>
        <v>#REF!</v>
      </c>
      <c r="AR14" t="e">
        <f>IF(#REF!="",1,IF(#REF!="(blank)",--(G14=""),IF(#REF!="(nonblank)",--(G14&lt;&gt;""),--ISNUMBER(SEARCH(#REF!,G14)))))</f>
        <v>#REF!</v>
      </c>
      <c r="AS14" t="e">
        <f>IF(#REF!="",1,IF(#REF!="(blank)",--(H14=""),IF(#REF!="(nonblank)",--(H14&lt;&gt;""),--ISNUMBER(SEARCH(#REF!,H14)))))</f>
        <v>#REF!</v>
      </c>
      <c r="AT14" t="e">
        <f>IF(#REF!="",1,IF(#REF!="(blank)",--(I14=""),IF(#REF!="(nonblank)",--(I14&lt;&gt;""),--ISNUMBER(SEARCH(#REF!,I14)))))</f>
        <v>#REF!</v>
      </c>
      <c r="AU14" t="e">
        <f>IF(#REF!="",1,IF(#REF!="(blank)",--(J14=""),IF(#REF!="(nonblank)",--(J14&lt;&gt;""),--ISNUMBER(SEARCH(#REF!,J14)))))</f>
        <v>#REF!</v>
      </c>
      <c r="AV14" t="e">
        <f>IF(#REF!="",1,IF(#REF!="(blank)",--(K14=""),IF(#REF!="(nonblank)",--(K14&lt;&gt;""),--ISNUMBER(SEARCH(#REF!,K14)))))</f>
        <v>#REF!</v>
      </c>
      <c r="AW14" t="e">
        <f>IF(#REF!="",1,IF(#REF!="(blank)",--(L14=""),IF(#REF!="(nonblank)",--(L14&lt;&gt;""),--ISNUMBER(SEARCH(#REF!,L14)))))</f>
        <v>#REF!</v>
      </c>
      <c r="AX14" t="e">
        <f>IF(#REF!="",1,IF(#REF!="(blank)",--(M14=""),IF(#REF!="(nonblank)",--(M14&lt;&gt;""),--ISNUMBER(SEARCH(#REF!,M14)))))</f>
        <v>#REF!</v>
      </c>
      <c r="AY14" t="e">
        <f>IF(#REF!="",1,IF(#REF!="(blank)",--(N14=""),IF(#REF!="(nonblank)",--(N14&lt;&gt;""),--ISNUMBER(SEARCH(#REF!,N14)))))</f>
        <v>#REF!</v>
      </c>
      <c r="AZ14" t="e">
        <f>IF(#REF!="",1,IF(#REF!="(blank)",--(O14=""),IF(#REF!="(nonblank)",--(O14&lt;&gt;""),--ISNUMBER(SEARCH(#REF!,O14)))))</f>
        <v>#REF!</v>
      </c>
      <c r="BA14" t="e">
        <f>IF(#REF!="",1,IF(#REF!="(blank)",--(P14=""),IF(#REF!="(nonblank)",--(P14&lt;&gt;""),--ISNUMBER(SEARCH(#REF!,P14)))))</f>
        <v>#REF!</v>
      </c>
      <c r="BB14" t="e">
        <f>IF(#REF!="",1,IF(#REF!="(blank)",--(Q14=""),IF(#REF!="(nonblank)",--(Q14&lt;&gt;""),--ISNUMBER(SEARCH(#REF!,Q14)))))</f>
        <v>#REF!</v>
      </c>
      <c r="BC14" t="e">
        <f>IF(#REF!="",1,IF(#REF!="(blank)",--(R14=""),IF(#REF!="(nonblank)",--(R14&lt;&gt;""),--ISNUMBER(SEARCH(#REF!,R14)))))</f>
        <v>#REF!</v>
      </c>
      <c r="BD14" t="e">
        <f>IF(#REF!="",1,IF(#REF!="(blank)",--(S14=""),IF(#REF!="(nonblank)",--(S14&lt;&gt;""),--ISNUMBER(SEARCH(#REF!,S14)))))</f>
        <v>#REF!</v>
      </c>
      <c r="BE14" t="e">
        <f>IF(#REF!="",1,IF(#REF!="(blank)",--(T14=""),IF(#REF!="(nonblank)",--(T14&lt;&gt;""),--ISNUMBER(SEARCH(#REF!,T14)))))</f>
        <v>#REF!</v>
      </c>
      <c r="BF14" t="e">
        <f>IF(#REF!="",1,IF(#REF!="(blank)",--(U14=""),IF(#REF!="(nonblank)",--(U14&lt;&gt;""),--ISNUMBER(SEARCH(#REF!,U14)))))</f>
        <v>#REF!</v>
      </c>
      <c r="BG14" t="e">
        <f>IF(#REF!="",1,IF(#REF!="(blank)",--(V14=""),IF(#REF!="(nonblank)",--(V14&lt;&gt;""),--ISNUMBER(SEARCH(#REF!,V14)))))</f>
        <v>#REF!</v>
      </c>
      <c r="BH14" t="e">
        <f>IF(#REF!="",1,IF(#REF!="(blank)",--(W14=""),IF(#REF!="(nonblank)",--(W14&lt;&gt;""),--ISNUMBER(SEARCH(#REF!,W14)))))</f>
        <v>#REF!</v>
      </c>
      <c r="BI14" t="e">
        <f>IF(#REF!="",1,IF(#REF!="(blank)",--(X14=""),IF(#REF!="(nonblank)",--(X14&lt;&gt;""),--ISNUMBER(SEARCH(#REF!,X14)))))</f>
        <v>#REF!</v>
      </c>
      <c r="BJ14" t="e">
        <f>IF(#REF!="",1,IF(#REF!="(blank)",--(Y14=""),IF(#REF!="(nonblank)",--(Y14&lt;&gt;""),--ISNUMBER(SEARCH(#REF!,Y14)))))</f>
        <v>#REF!</v>
      </c>
      <c r="BK14" t="e">
        <f>IF(#REF!="",1,IF(#REF!="(blank)",--(Z14=""),IF(#REF!="(nonblank)",--(Z14&lt;&gt;""),--ISNUMBER(SEARCH(#REF!,Z14)))))</f>
        <v>#REF!</v>
      </c>
      <c r="BL14" t="e">
        <f>IF(#REF!="",1,IF(#REF!="(blank)",--(AA14=""),IF(#REF!="(nonblank)",--(AA14&lt;&gt;""),--ISNUMBER(SEARCH(#REF!,AA14)))))</f>
        <v>#REF!</v>
      </c>
      <c r="BM14" t="e">
        <f>IF(#REF!="",1,IF(#REF!="(blank)",--(AB14=""),IF(#REF!="(nonblank)",--(AB14&lt;&gt;""),--ISNUMBER(SEARCH(#REF!,AB14)))))</f>
        <v>#REF!</v>
      </c>
      <c r="BN14" t="e">
        <f>IF(#REF!="",1,IF(#REF!="(blank)",--(AC14=""),IF(#REF!="(nonblank)",--(AC14&lt;&gt;""),--ISNUMBER(SEARCH(#REF!,AC14)))))</f>
        <v>#REF!</v>
      </c>
      <c r="BO14" t="e">
        <f>IF(#REF!="",1,IF(#REF!="(blank)",--(AD14=""),IF(#REF!="(nonblank)",--(AD14&lt;&gt;""),--ISNUMBER(SEARCH(#REF!,AD14)))))</f>
        <v>#REF!</v>
      </c>
      <c r="BP14" t="e">
        <f>IF(#REF!="",1,IF(#REF!="(blank)",--(AE14=""),IF(#REF!="(nonblank)",--(AE14&lt;&gt;""),--ISNUMBER(SEARCH(#REF!,AE14)))))</f>
        <v>#REF!</v>
      </c>
      <c r="BQ14" t="e">
        <f>IF(#REF!="",1,IF(#REF!="(blank)",--(AF14=""),IF(#REF!="(nonblank)",--(AF14&lt;&gt;""),--ISNUMBER(SEARCH(#REF!,AF14)))))</f>
        <v>#REF!</v>
      </c>
      <c r="BR14" t="e">
        <f>IF(#REF!="",1,IF(#REF!="(blank)",--(AG14=""),IF(#REF!="(nonblank)",--(AG14&lt;&gt;""),--ISNUMBER(SEARCH(#REF!,AG14)))))</f>
        <v>#REF!</v>
      </c>
      <c r="BS14" t="e">
        <f>IF(#REF!="",1,IF(#REF!="(blank)",--(AH14=""),IF(#REF!="(nonblank)",--(AH14&lt;&gt;""),--ISNUMBER(SEARCH(#REF!,AH14)))))</f>
        <v>#REF!</v>
      </c>
      <c r="BT14">
        <f t="shared" si="16"/>
        <v>1</v>
      </c>
    </row>
    <row r="15" spans="1:72" ht="14.25" customHeight="1" x14ac:dyDescent="0.3">
      <c r="A15" s="19">
        <v>100</v>
      </c>
      <c r="B15" s="20" t="s">
        <v>74</v>
      </c>
      <c r="C15" s="21">
        <v>710</v>
      </c>
      <c r="D15" s="22">
        <v>21978</v>
      </c>
      <c r="E15" s="22" t="s">
        <v>38</v>
      </c>
      <c r="F15" s="22">
        <v>2015</v>
      </c>
      <c r="G15" s="20" t="s">
        <v>65</v>
      </c>
      <c r="H15" s="23">
        <v>71000</v>
      </c>
      <c r="I15" s="23">
        <f t="shared" si="0"/>
        <v>12780</v>
      </c>
      <c r="J15" s="23">
        <f t="shared" si="1"/>
        <v>83780</v>
      </c>
      <c r="K15" s="23">
        <f t="shared" si="2"/>
        <v>1676</v>
      </c>
      <c r="L15" s="24">
        <f t="shared" si="3"/>
        <v>71</v>
      </c>
      <c r="M15" s="24">
        <f t="shared" si="4"/>
        <v>1885.05</v>
      </c>
      <c r="N15" s="25">
        <f t="shared" si="5"/>
        <v>31.95</v>
      </c>
      <c r="O15" s="24">
        <f t="shared" si="6"/>
        <v>1853.1</v>
      </c>
      <c r="P15" s="24">
        <f t="shared" si="7"/>
        <v>1924</v>
      </c>
      <c r="Q15" s="26">
        <v>0</v>
      </c>
      <c r="R15" s="24">
        <f t="shared" si="8"/>
        <v>0</v>
      </c>
      <c r="S15" s="23">
        <f t="shared" ca="1" si="9"/>
        <v>83532</v>
      </c>
      <c r="T15" s="24">
        <f t="shared" si="10"/>
        <v>17750</v>
      </c>
      <c r="U15" s="27">
        <v>17750</v>
      </c>
      <c r="V15" s="24" t="s">
        <v>45</v>
      </c>
      <c r="W15" s="24">
        <f t="shared" si="11"/>
        <v>65782</v>
      </c>
      <c r="X15" s="24">
        <f>+W15</f>
        <v>65782</v>
      </c>
      <c r="Y15" s="24" t="s">
        <v>45</v>
      </c>
      <c r="Z15" s="24">
        <f t="shared" ca="1" si="12"/>
        <v>0</v>
      </c>
      <c r="AA15" s="24"/>
      <c r="AB15" s="24"/>
      <c r="AC15" s="28">
        <f t="shared" si="13"/>
        <v>83532</v>
      </c>
      <c r="AD15" s="28">
        <f t="shared" ca="1" si="14"/>
        <v>0</v>
      </c>
      <c r="AE15" s="24" t="str">
        <f t="shared" ca="1" si="15"/>
        <v>SETTLED</v>
      </c>
      <c r="AF15" s="24" t="s">
        <v>75</v>
      </c>
      <c r="AG15" s="29">
        <v>1800003158</v>
      </c>
      <c r="AH15" s="30" t="s">
        <v>52</v>
      </c>
      <c r="AL15" t="e">
        <f>IF(#REF!="",1,IF(#REF!="(blank)",--(A15=""),IF(#REF!="(nonblank)",--(A15&lt;&gt;""),--ISNUMBER(SEARCH(#REF!,A15)))))</f>
        <v>#REF!</v>
      </c>
      <c r="AM15" t="e">
        <f>IF(#REF!="",1,IF(#REF!="(blank)",--(B15=""),IF(#REF!="(nonblank)",--(B15&lt;&gt;""),--ISNUMBER(SEARCH(#REF!,B15)))))</f>
        <v>#REF!</v>
      </c>
      <c r="AN15" t="e">
        <f>IF(#REF!="",1,IF(#REF!="(blank)",--(C15=""),IF(#REF!="(nonblank)",--(C15&lt;&gt;""),--ISNUMBER(SEARCH(#REF!,C15)))))</f>
        <v>#REF!</v>
      </c>
      <c r="AO15" t="e">
        <f>IF(#REF!="",1,IF(#REF!="(blank)",--(D15=""),IF(#REF!="(nonblank)",--(D15&lt;&gt;""),--ISNUMBER(SEARCH(#REF!,D15)))))</f>
        <v>#REF!</v>
      </c>
      <c r="AP15" t="e">
        <f>IF(#REF!="",1,IF(#REF!="(blank)",--(E15=""),IF(#REF!="(nonblank)",--(E15&lt;&gt;""),--ISNUMBER(SEARCH(#REF!,E15)))))</f>
        <v>#REF!</v>
      </c>
      <c r="AQ15" t="e">
        <f>IF(#REF!="",1,IF(#REF!="(blank)",--(F15=""),IF(#REF!="(nonblank)",--(F15&lt;&gt;""),--ISNUMBER(SEARCH(#REF!,F15)))))</f>
        <v>#REF!</v>
      </c>
      <c r="AR15" t="e">
        <f>IF(#REF!="",1,IF(#REF!="(blank)",--(G15=""),IF(#REF!="(nonblank)",--(G15&lt;&gt;""),--ISNUMBER(SEARCH(#REF!,G15)))))</f>
        <v>#REF!</v>
      </c>
      <c r="AS15" t="e">
        <f>IF(#REF!="",1,IF(#REF!="(blank)",--(H15=""),IF(#REF!="(nonblank)",--(H15&lt;&gt;""),--ISNUMBER(SEARCH(#REF!,H15)))))</f>
        <v>#REF!</v>
      </c>
      <c r="AT15" t="e">
        <f>IF(#REF!="",1,IF(#REF!="(blank)",--(I15=""),IF(#REF!="(nonblank)",--(I15&lt;&gt;""),--ISNUMBER(SEARCH(#REF!,I15)))))</f>
        <v>#REF!</v>
      </c>
      <c r="AU15" t="e">
        <f>IF(#REF!="",1,IF(#REF!="(blank)",--(J15=""),IF(#REF!="(nonblank)",--(J15&lt;&gt;""),--ISNUMBER(SEARCH(#REF!,J15)))))</f>
        <v>#REF!</v>
      </c>
      <c r="AV15" t="e">
        <f>IF(#REF!="",1,IF(#REF!="(blank)",--(K15=""),IF(#REF!="(nonblank)",--(K15&lt;&gt;""),--ISNUMBER(SEARCH(#REF!,K15)))))</f>
        <v>#REF!</v>
      </c>
      <c r="AW15" t="e">
        <f>IF(#REF!="",1,IF(#REF!="(blank)",--(L15=""),IF(#REF!="(nonblank)",--(L15&lt;&gt;""),--ISNUMBER(SEARCH(#REF!,L15)))))</f>
        <v>#REF!</v>
      </c>
      <c r="AX15" t="e">
        <f>IF(#REF!="",1,IF(#REF!="(blank)",--(M15=""),IF(#REF!="(nonblank)",--(M15&lt;&gt;""),--ISNUMBER(SEARCH(#REF!,M15)))))</f>
        <v>#REF!</v>
      </c>
      <c r="AY15" t="e">
        <f>IF(#REF!="",1,IF(#REF!="(blank)",--(N15=""),IF(#REF!="(nonblank)",--(N15&lt;&gt;""),--ISNUMBER(SEARCH(#REF!,N15)))))</f>
        <v>#REF!</v>
      </c>
      <c r="AZ15" t="e">
        <f>IF(#REF!="",1,IF(#REF!="(blank)",--(O15=""),IF(#REF!="(nonblank)",--(O15&lt;&gt;""),--ISNUMBER(SEARCH(#REF!,O15)))))</f>
        <v>#REF!</v>
      </c>
      <c r="BA15" t="e">
        <f>IF(#REF!="",1,IF(#REF!="(blank)",--(P15=""),IF(#REF!="(nonblank)",--(P15&lt;&gt;""),--ISNUMBER(SEARCH(#REF!,P15)))))</f>
        <v>#REF!</v>
      </c>
      <c r="BB15" t="e">
        <f>IF(#REF!="",1,IF(#REF!="(blank)",--(Q15=""),IF(#REF!="(nonblank)",--(Q15&lt;&gt;""),--ISNUMBER(SEARCH(#REF!,Q15)))))</f>
        <v>#REF!</v>
      </c>
      <c r="BC15" t="e">
        <f>IF(#REF!="",1,IF(#REF!="(blank)",--(R15=""),IF(#REF!="(nonblank)",--(R15&lt;&gt;""),--ISNUMBER(SEARCH(#REF!,R15)))))</f>
        <v>#REF!</v>
      </c>
      <c r="BD15" t="e">
        <f>IF(#REF!="",1,IF(#REF!="(blank)",--(S15=""),IF(#REF!="(nonblank)",--(S15&lt;&gt;""),--ISNUMBER(SEARCH(#REF!,S15)))))</f>
        <v>#REF!</v>
      </c>
      <c r="BE15" t="e">
        <f>IF(#REF!="",1,IF(#REF!="(blank)",--(T15=""),IF(#REF!="(nonblank)",--(T15&lt;&gt;""),--ISNUMBER(SEARCH(#REF!,T15)))))</f>
        <v>#REF!</v>
      </c>
      <c r="BF15" t="e">
        <f>IF(#REF!="",1,IF(#REF!="(blank)",--(U15=""),IF(#REF!="(nonblank)",--(U15&lt;&gt;""),--ISNUMBER(SEARCH(#REF!,U15)))))</f>
        <v>#REF!</v>
      </c>
      <c r="BG15" t="e">
        <f>IF(#REF!="",1,IF(#REF!="(blank)",--(V15=""),IF(#REF!="(nonblank)",--(V15&lt;&gt;""),--ISNUMBER(SEARCH(#REF!,V15)))))</f>
        <v>#REF!</v>
      </c>
      <c r="BH15" t="e">
        <f>IF(#REF!="",1,IF(#REF!="(blank)",--(W15=""),IF(#REF!="(nonblank)",--(W15&lt;&gt;""),--ISNUMBER(SEARCH(#REF!,W15)))))</f>
        <v>#REF!</v>
      </c>
      <c r="BI15" t="e">
        <f>IF(#REF!="",1,IF(#REF!="(blank)",--(X15=""),IF(#REF!="(nonblank)",--(X15&lt;&gt;""),--ISNUMBER(SEARCH(#REF!,X15)))))</f>
        <v>#REF!</v>
      </c>
      <c r="BJ15" t="e">
        <f>IF(#REF!="",1,IF(#REF!="(blank)",--(Y15=""),IF(#REF!="(nonblank)",--(Y15&lt;&gt;""),--ISNUMBER(SEARCH(#REF!,Y15)))))</f>
        <v>#REF!</v>
      </c>
      <c r="BK15" t="e">
        <f>IF(#REF!="",1,IF(#REF!="(blank)",--(Z15=""),IF(#REF!="(nonblank)",--(Z15&lt;&gt;""),--ISNUMBER(SEARCH(#REF!,Z15)))))</f>
        <v>#REF!</v>
      </c>
      <c r="BL15" t="e">
        <f>IF(#REF!="",1,IF(#REF!="(blank)",--(AA15=""),IF(#REF!="(nonblank)",--(AA15&lt;&gt;""),--ISNUMBER(SEARCH(#REF!,AA15)))))</f>
        <v>#REF!</v>
      </c>
      <c r="BM15" t="e">
        <f>IF(#REF!="",1,IF(#REF!="(blank)",--(AB15=""),IF(#REF!="(nonblank)",--(AB15&lt;&gt;""),--ISNUMBER(SEARCH(#REF!,AB15)))))</f>
        <v>#REF!</v>
      </c>
      <c r="BN15" t="e">
        <f>IF(#REF!="",1,IF(#REF!="(blank)",--(AC15=""),IF(#REF!="(nonblank)",--(AC15&lt;&gt;""),--ISNUMBER(SEARCH(#REF!,AC15)))))</f>
        <v>#REF!</v>
      </c>
      <c r="BO15" t="e">
        <f>IF(#REF!="",1,IF(#REF!="(blank)",--(AD15=""),IF(#REF!="(nonblank)",--(AD15&lt;&gt;""),--ISNUMBER(SEARCH(#REF!,AD15)))))</f>
        <v>#REF!</v>
      </c>
      <c r="BP15" t="e">
        <f>IF(#REF!="",1,IF(#REF!="(blank)",--(AE15=""),IF(#REF!="(nonblank)",--(AE15&lt;&gt;""),--ISNUMBER(SEARCH(#REF!,AE15)))))</f>
        <v>#REF!</v>
      </c>
      <c r="BQ15" t="e">
        <f>IF(#REF!="",1,IF(#REF!="(blank)",--(AF15=""),IF(#REF!="(nonblank)",--(AF15&lt;&gt;""),--ISNUMBER(SEARCH(#REF!,AF15)))))</f>
        <v>#REF!</v>
      </c>
      <c r="BR15" t="e">
        <f>IF(#REF!="",1,IF(#REF!="(blank)",--(AG15=""),IF(#REF!="(nonblank)",--(AG15&lt;&gt;""),--ISNUMBER(SEARCH(#REF!,AG15)))))</f>
        <v>#REF!</v>
      </c>
      <c r="BS15" t="e">
        <f>IF(#REF!="",1,IF(#REF!="(blank)",--(AH15=""),IF(#REF!="(nonblank)",--(AH15&lt;&gt;""),--ISNUMBER(SEARCH(#REF!,AH15)))))</f>
        <v>#REF!</v>
      </c>
      <c r="BT15">
        <f t="shared" si="16"/>
        <v>1</v>
      </c>
    </row>
    <row r="16" spans="1:72" ht="14.25" customHeight="1" x14ac:dyDescent="0.3">
      <c r="A16" s="31">
        <v>1</v>
      </c>
      <c r="B16" s="32" t="s">
        <v>76</v>
      </c>
      <c r="C16" s="33">
        <v>220001</v>
      </c>
      <c r="D16" s="34">
        <v>21978</v>
      </c>
      <c r="E16" s="34" t="s">
        <v>38</v>
      </c>
      <c r="F16" s="34">
        <v>2018</v>
      </c>
      <c r="G16" s="32" t="s">
        <v>39</v>
      </c>
      <c r="H16" s="35">
        <v>220001</v>
      </c>
      <c r="I16" s="35">
        <f t="shared" si="0"/>
        <v>39600</v>
      </c>
      <c r="J16" s="35">
        <f t="shared" si="1"/>
        <v>259601</v>
      </c>
      <c r="K16" s="35">
        <f t="shared" si="2"/>
        <v>5192</v>
      </c>
      <c r="L16" s="36">
        <f t="shared" si="3"/>
        <v>220.001</v>
      </c>
      <c r="M16" s="36">
        <f t="shared" si="4"/>
        <v>5841.0265499999996</v>
      </c>
      <c r="N16" s="37">
        <f t="shared" si="5"/>
        <v>99.000450000000001</v>
      </c>
      <c r="O16" s="36">
        <f t="shared" si="6"/>
        <v>5742.0260999999991</v>
      </c>
      <c r="P16" s="36">
        <f t="shared" si="7"/>
        <v>5962</v>
      </c>
      <c r="Q16" s="38">
        <v>0</v>
      </c>
      <c r="R16" s="36">
        <f t="shared" si="8"/>
        <v>0</v>
      </c>
      <c r="S16" s="23">
        <f t="shared" ca="1" si="9"/>
        <v>258831</v>
      </c>
      <c r="T16" s="36">
        <f t="shared" si="10"/>
        <v>55000</v>
      </c>
      <c r="U16" s="39">
        <f>+T16</f>
        <v>55000</v>
      </c>
      <c r="V16" s="36" t="s">
        <v>40</v>
      </c>
      <c r="W16" s="36">
        <f t="shared" si="11"/>
        <v>203831</v>
      </c>
      <c r="X16" s="36">
        <v>203831</v>
      </c>
      <c r="Y16" s="36" t="s">
        <v>34</v>
      </c>
      <c r="Z16" s="36">
        <f t="shared" ca="1" si="12"/>
        <v>0</v>
      </c>
      <c r="AA16" s="36"/>
      <c r="AB16" s="36"/>
      <c r="AC16" s="11">
        <f t="shared" si="13"/>
        <v>258831</v>
      </c>
      <c r="AD16" s="15">
        <f t="shared" ca="1" si="14"/>
        <v>0</v>
      </c>
      <c r="AE16" s="16" t="str">
        <f t="shared" ca="1" si="15"/>
        <v>SETTLED</v>
      </c>
      <c r="AF16" s="16" t="s">
        <v>77</v>
      </c>
      <c r="AG16" s="17">
        <v>1800003306</v>
      </c>
      <c r="AH16" s="18" t="s">
        <v>42</v>
      </c>
      <c r="AL16" t="e">
        <f>IF(#REF!="",1,IF(#REF!="(blank)",--(A16=""),IF(#REF!="(nonblank)",--(A16&lt;&gt;""),--ISNUMBER(SEARCH(#REF!,A16)))))</f>
        <v>#REF!</v>
      </c>
      <c r="AM16" t="e">
        <f>IF(#REF!="",1,IF(#REF!="(blank)",--(B16=""),IF(#REF!="(nonblank)",--(B16&lt;&gt;""),--ISNUMBER(SEARCH(#REF!,B16)))))</f>
        <v>#REF!</v>
      </c>
      <c r="AN16" t="e">
        <f>IF(#REF!="",1,IF(#REF!="(blank)",--(C16=""),IF(#REF!="(nonblank)",--(C16&lt;&gt;""),--ISNUMBER(SEARCH(#REF!,C16)))))</f>
        <v>#REF!</v>
      </c>
      <c r="AO16" t="e">
        <f>IF(#REF!="",1,IF(#REF!="(blank)",--(D16=""),IF(#REF!="(nonblank)",--(D16&lt;&gt;""),--ISNUMBER(SEARCH(#REF!,D16)))))</f>
        <v>#REF!</v>
      </c>
      <c r="AP16" t="e">
        <f>IF(#REF!="",1,IF(#REF!="(blank)",--(E16=""),IF(#REF!="(nonblank)",--(E16&lt;&gt;""),--ISNUMBER(SEARCH(#REF!,E16)))))</f>
        <v>#REF!</v>
      </c>
      <c r="AQ16" t="e">
        <f>IF(#REF!="",1,IF(#REF!="(blank)",--(F16=""),IF(#REF!="(nonblank)",--(F16&lt;&gt;""),--ISNUMBER(SEARCH(#REF!,F16)))))</f>
        <v>#REF!</v>
      </c>
      <c r="AR16" t="e">
        <f>IF(#REF!="",1,IF(#REF!="(blank)",--(G16=""),IF(#REF!="(nonblank)",--(G16&lt;&gt;""),--ISNUMBER(SEARCH(#REF!,G16)))))</f>
        <v>#REF!</v>
      </c>
      <c r="AS16" t="e">
        <f>IF(#REF!="",1,IF(#REF!="(blank)",--(H16=""),IF(#REF!="(nonblank)",--(H16&lt;&gt;""),--ISNUMBER(SEARCH(#REF!,H16)))))</f>
        <v>#REF!</v>
      </c>
      <c r="AT16" t="e">
        <f>IF(#REF!="",1,IF(#REF!="(blank)",--(I16=""),IF(#REF!="(nonblank)",--(I16&lt;&gt;""),--ISNUMBER(SEARCH(#REF!,I16)))))</f>
        <v>#REF!</v>
      </c>
      <c r="AU16" t="e">
        <f>IF(#REF!="",1,IF(#REF!="(blank)",--(J16=""),IF(#REF!="(nonblank)",--(J16&lt;&gt;""),--ISNUMBER(SEARCH(#REF!,J16)))))</f>
        <v>#REF!</v>
      </c>
      <c r="AV16" t="e">
        <f>IF(#REF!="",1,IF(#REF!="(blank)",--(K16=""),IF(#REF!="(nonblank)",--(K16&lt;&gt;""),--ISNUMBER(SEARCH(#REF!,K16)))))</f>
        <v>#REF!</v>
      </c>
      <c r="AW16" t="e">
        <f>IF(#REF!="",1,IF(#REF!="(blank)",--(L16=""),IF(#REF!="(nonblank)",--(L16&lt;&gt;""),--ISNUMBER(SEARCH(#REF!,L16)))))</f>
        <v>#REF!</v>
      </c>
      <c r="AX16" t="e">
        <f>IF(#REF!="",1,IF(#REF!="(blank)",--(M16=""),IF(#REF!="(nonblank)",--(M16&lt;&gt;""),--ISNUMBER(SEARCH(#REF!,M16)))))</f>
        <v>#REF!</v>
      </c>
      <c r="AY16" t="e">
        <f>IF(#REF!="",1,IF(#REF!="(blank)",--(N16=""),IF(#REF!="(nonblank)",--(N16&lt;&gt;""),--ISNUMBER(SEARCH(#REF!,N16)))))</f>
        <v>#REF!</v>
      </c>
      <c r="AZ16" t="e">
        <f>IF(#REF!="",1,IF(#REF!="(blank)",--(O16=""),IF(#REF!="(nonblank)",--(O16&lt;&gt;""),--ISNUMBER(SEARCH(#REF!,O16)))))</f>
        <v>#REF!</v>
      </c>
      <c r="BA16" t="e">
        <f>IF(#REF!="",1,IF(#REF!="(blank)",--(P16=""),IF(#REF!="(nonblank)",--(P16&lt;&gt;""),--ISNUMBER(SEARCH(#REF!,P16)))))</f>
        <v>#REF!</v>
      </c>
      <c r="BB16" t="e">
        <f>IF(#REF!="",1,IF(#REF!="(blank)",--(Q16=""),IF(#REF!="(nonblank)",--(Q16&lt;&gt;""),--ISNUMBER(SEARCH(#REF!,Q16)))))</f>
        <v>#REF!</v>
      </c>
      <c r="BC16" t="e">
        <f>IF(#REF!="",1,IF(#REF!="(blank)",--(R16=""),IF(#REF!="(nonblank)",--(R16&lt;&gt;""),--ISNUMBER(SEARCH(#REF!,R16)))))</f>
        <v>#REF!</v>
      </c>
      <c r="BD16" t="e">
        <f>IF(#REF!="",1,IF(#REF!="(blank)",--(S16=""),IF(#REF!="(nonblank)",--(S16&lt;&gt;""),--ISNUMBER(SEARCH(#REF!,S16)))))</f>
        <v>#REF!</v>
      </c>
      <c r="BE16" t="e">
        <f>IF(#REF!="",1,IF(#REF!="(blank)",--(T16=""),IF(#REF!="(nonblank)",--(T16&lt;&gt;""),--ISNUMBER(SEARCH(#REF!,T16)))))</f>
        <v>#REF!</v>
      </c>
      <c r="BF16" t="e">
        <f>IF(#REF!="",1,IF(#REF!="(blank)",--(U16=""),IF(#REF!="(nonblank)",--(U16&lt;&gt;""),--ISNUMBER(SEARCH(#REF!,U16)))))</f>
        <v>#REF!</v>
      </c>
      <c r="BG16" t="e">
        <f>IF(#REF!="",1,IF(#REF!="(blank)",--(V16=""),IF(#REF!="(nonblank)",--(V16&lt;&gt;""),--ISNUMBER(SEARCH(#REF!,V16)))))</f>
        <v>#REF!</v>
      </c>
      <c r="BH16" t="e">
        <f>IF(#REF!="",1,IF(#REF!="(blank)",--(W16=""),IF(#REF!="(nonblank)",--(W16&lt;&gt;""),--ISNUMBER(SEARCH(#REF!,W16)))))</f>
        <v>#REF!</v>
      </c>
      <c r="BI16" t="e">
        <f>IF(#REF!="",1,IF(#REF!="(blank)",--(X16=""),IF(#REF!="(nonblank)",--(X16&lt;&gt;""),--ISNUMBER(SEARCH(#REF!,X16)))))</f>
        <v>#REF!</v>
      </c>
      <c r="BJ16" t="e">
        <f>IF(#REF!="",1,IF(#REF!="(blank)",--(Y16=""),IF(#REF!="(nonblank)",--(Y16&lt;&gt;""),--ISNUMBER(SEARCH(#REF!,Y16)))))</f>
        <v>#REF!</v>
      </c>
      <c r="BK16" t="e">
        <f>IF(#REF!="",1,IF(#REF!="(blank)",--(Z16=""),IF(#REF!="(nonblank)",--(Z16&lt;&gt;""),--ISNUMBER(SEARCH(#REF!,Z16)))))</f>
        <v>#REF!</v>
      </c>
      <c r="BL16" t="e">
        <f>IF(#REF!="",1,IF(#REF!="(blank)",--(AA16=""),IF(#REF!="(nonblank)",--(AA16&lt;&gt;""),--ISNUMBER(SEARCH(#REF!,AA16)))))</f>
        <v>#REF!</v>
      </c>
      <c r="BM16" t="e">
        <f>IF(#REF!="",1,IF(#REF!="(blank)",--(AB16=""),IF(#REF!="(nonblank)",--(AB16&lt;&gt;""),--ISNUMBER(SEARCH(#REF!,AB16)))))</f>
        <v>#REF!</v>
      </c>
      <c r="BN16" t="e">
        <f>IF(#REF!="",1,IF(#REF!="(blank)",--(AC16=""),IF(#REF!="(nonblank)",--(AC16&lt;&gt;""),--ISNUMBER(SEARCH(#REF!,AC16)))))</f>
        <v>#REF!</v>
      </c>
      <c r="BO16" t="e">
        <f>IF(#REF!="",1,IF(#REF!="(blank)",--(AD16=""),IF(#REF!="(nonblank)",--(AD16&lt;&gt;""),--ISNUMBER(SEARCH(#REF!,AD16)))))</f>
        <v>#REF!</v>
      </c>
      <c r="BP16" t="e">
        <f>IF(#REF!="",1,IF(#REF!="(blank)",--(AE16=""),IF(#REF!="(nonblank)",--(AE16&lt;&gt;""),--ISNUMBER(SEARCH(#REF!,AE16)))))</f>
        <v>#REF!</v>
      </c>
      <c r="BQ16" t="e">
        <f>IF(#REF!="",1,IF(#REF!="(blank)",--(AF16=""),IF(#REF!="(nonblank)",--(AF16&lt;&gt;""),--ISNUMBER(SEARCH(#REF!,AF16)))))</f>
        <v>#REF!</v>
      </c>
      <c r="BR16" t="e">
        <f>IF(#REF!="",1,IF(#REF!="(blank)",--(AG16=""),IF(#REF!="(nonblank)",--(AG16&lt;&gt;""),--ISNUMBER(SEARCH(#REF!,AG16)))))</f>
        <v>#REF!</v>
      </c>
      <c r="BS16" t="e">
        <f>IF(#REF!="",1,IF(#REF!="(blank)",--(AH16=""),IF(#REF!="(nonblank)",--(AH16&lt;&gt;""),--ISNUMBER(SEARCH(#REF!,AH16)))))</f>
        <v>#REF!</v>
      </c>
      <c r="BT16">
        <f t="shared" si="16"/>
        <v>1</v>
      </c>
    </row>
    <row r="17" spans="1:72" ht="14.25" customHeight="1" x14ac:dyDescent="0.3">
      <c r="A17" s="19">
        <v>1</v>
      </c>
      <c r="B17" s="20" t="s">
        <v>76</v>
      </c>
      <c r="C17" s="21">
        <v>210001</v>
      </c>
      <c r="D17" s="22">
        <v>21978</v>
      </c>
      <c r="E17" s="22" t="s">
        <v>38</v>
      </c>
      <c r="F17" s="22">
        <v>2019</v>
      </c>
      <c r="G17" s="20" t="s">
        <v>39</v>
      </c>
      <c r="H17" s="23">
        <v>210001</v>
      </c>
      <c r="I17" s="23">
        <f t="shared" si="0"/>
        <v>37800</v>
      </c>
      <c r="J17" s="23">
        <f t="shared" si="1"/>
        <v>247801</v>
      </c>
      <c r="K17" s="23">
        <f t="shared" si="2"/>
        <v>4956</v>
      </c>
      <c r="L17" s="24">
        <f t="shared" si="3"/>
        <v>210.001</v>
      </c>
      <c r="M17" s="24">
        <f t="shared" si="4"/>
        <v>5575.5265499999996</v>
      </c>
      <c r="N17" s="25">
        <f t="shared" si="5"/>
        <v>94.500450000000001</v>
      </c>
      <c r="O17" s="24">
        <f t="shared" si="6"/>
        <v>5481.0260999999991</v>
      </c>
      <c r="P17" s="24">
        <f t="shared" si="7"/>
        <v>5691</v>
      </c>
      <c r="Q17" s="26">
        <v>0</v>
      </c>
      <c r="R17" s="24">
        <f t="shared" si="8"/>
        <v>0</v>
      </c>
      <c r="S17" s="23">
        <f t="shared" ca="1" si="9"/>
        <v>247066</v>
      </c>
      <c r="T17" s="24">
        <f t="shared" si="10"/>
        <v>52500</v>
      </c>
      <c r="U17" s="27">
        <f>+T17</f>
        <v>52500</v>
      </c>
      <c r="V17" s="24" t="s">
        <v>40</v>
      </c>
      <c r="W17" s="24">
        <f t="shared" si="11"/>
        <v>194566</v>
      </c>
      <c r="X17" s="24">
        <v>194566</v>
      </c>
      <c r="Y17" s="24" t="s">
        <v>34</v>
      </c>
      <c r="Z17" s="24">
        <f t="shared" ca="1" si="12"/>
        <v>0</v>
      </c>
      <c r="AA17" s="24"/>
      <c r="AB17" s="24"/>
      <c r="AC17" s="28">
        <f t="shared" si="13"/>
        <v>247066</v>
      </c>
      <c r="AD17" s="28">
        <f t="shared" ca="1" si="14"/>
        <v>0</v>
      </c>
      <c r="AE17" s="24" t="str">
        <f t="shared" ca="1" si="15"/>
        <v>SETTLED</v>
      </c>
      <c r="AF17" s="24" t="s">
        <v>78</v>
      </c>
      <c r="AG17" s="29">
        <v>1800003307</v>
      </c>
      <c r="AH17" s="30" t="s">
        <v>42</v>
      </c>
      <c r="AL17" t="e">
        <f>IF(#REF!="",1,IF(#REF!="(blank)",--(A17=""),IF(#REF!="(nonblank)",--(A17&lt;&gt;""),--ISNUMBER(SEARCH(#REF!,A17)))))</f>
        <v>#REF!</v>
      </c>
      <c r="AM17" t="e">
        <f>IF(#REF!="",1,IF(#REF!="(blank)",--(B17=""),IF(#REF!="(nonblank)",--(B17&lt;&gt;""),--ISNUMBER(SEARCH(#REF!,B17)))))</f>
        <v>#REF!</v>
      </c>
      <c r="AN17" t="e">
        <f>IF(#REF!="",1,IF(#REF!="(blank)",--(C17=""),IF(#REF!="(nonblank)",--(C17&lt;&gt;""),--ISNUMBER(SEARCH(#REF!,C17)))))</f>
        <v>#REF!</v>
      </c>
      <c r="AO17" t="e">
        <f>IF(#REF!="",1,IF(#REF!="(blank)",--(D17=""),IF(#REF!="(nonblank)",--(D17&lt;&gt;""),--ISNUMBER(SEARCH(#REF!,D17)))))</f>
        <v>#REF!</v>
      </c>
      <c r="AP17" t="e">
        <f>IF(#REF!="",1,IF(#REF!="(blank)",--(E17=""),IF(#REF!="(nonblank)",--(E17&lt;&gt;""),--ISNUMBER(SEARCH(#REF!,E17)))))</f>
        <v>#REF!</v>
      </c>
      <c r="AQ17" t="e">
        <f>IF(#REF!="",1,IF(#REF!="(blank)",--(F17=""),IF(#REF!="(nonblank)",--(F17&lt;&gt;""),--ISNUMBER(SEARCH(#REF!,F17)))))</f>
        <v>#REF!</v>
      </c>
      <c r="AR17" t="e">
        <f>IF(#REF!="",1,IF(#REF!="(blank)",--(G17=""),IF(#REF!="(nonblank)",--(G17&lt;&gt;""),--ISNUMBER(SEARCH(#REF!,G17)))))</f>
        <v>#REF!</v>
      </c>
      <c r="AS17" t="e">
        <f>IF(#REF!="",1,IF(#REF!="(blank)",--(H17=""),IF(#REF!="(nonblank)",--(H17&lt;&gt;""),--ISNUMBER(SEARCH(#REF!,H17)))))</f>
        <v>#REF!</v>
      </c>
      <c r="AT17" t="e">
        <f>IF(#REF!="",1,IF(#REF!="(blank)",--(I17=""),IF(#REF!="(nonblank)",--(I17&lt;&gt;""),--ISNUMBER(SEARCH(#REF!,I17)))))</f>
        <v>#REF!</v>
      </c>
      <c r="AU17" t="e">
        <f>IF(#REF!="",1,IF(#REF!="(blank)",--(J17=""),IF(#REF!="(nonblank)",--(J17&lt;&gt;""),--ISNUMBER(SEARCH(#REF!,J17)))))</f>
        <v>#REF!</v>
      </c>
      <c r="AV17" t="e">
        <f>IF(#REF!="",1,IF(#REF!="(blank)",--(K17=""),IF(#REF!="(nonblank)",--(K17&lt;&gt;""),--ISNUMBER(SEARCH(#REF!,K17)))))</f>
        <v>#REF!</v>
      </c>
      <c r="AW17" t="e">
        <f>IF(#REF!="",1,IF(#REF!="(blank)",--(L17=""),IF(#REF!="(nonblank)",--(L17&lt;&gt;""),--ISNUMBER(SEARCH(#REF!,L17)))))</f>
        <v>#REF!</v>
      </c>
      <c r="AX17" t="e">
        <f>IF(#REF!="",1,IF(#REF!="(blank)",--(M17=""),IF(#REF!="(nonblank)",--(M17&lt;&gt;""),--ISNUMBER(SEARCH(#REF!,M17)))))</f>
        <v>#REF!</v>
      </c>
      <c r="AY17" t="e">
        <f>IF(#REF!="",1,IF(#REF!="(blank)",--(N17=""),IF(#REF!="(nonblank)",--(N17&lt;&gt;""),--ISNUMBER(SEARCH(#REF!,N17)))))</f>
        <v>#REF!</v>
      </c>
      <c r="AZ17" t="e">
        <f>IF(#REF!="",1,IF(#REF!="(blank)",--(O17=""),IF(#REF!="(nonblank)",--(O17&lt;&gt;""),--ISNUMBER(SEARCH(#REF!,O17)))))</f>
        <v>#REF!</v>
      </c>
      <c r="BA17" t="e">
        <f>IF(#REF!="",1,IF(#REF!="(blank)",--(P17=""),IF(#REF!="(nonblank)",--(P17&lt;&gt;""),--ISNUMBER(SEARCH(#REF!,P17)))))</f>
        <v>#REF!</v>
      </c>
      <c r="BB17" t="e">
        <f>IF(#REF!="",1,IF(#REF!="(blank)",--(Q17=""),IF(#REF!="(nonblank)",--(Q17&lt;&gt;""),--ISNUMBER(SEARCH(#REF!,Q17)))))</f>
        <v>#REF!</v>
      </c>
      <c r="BC17" t="e">
        <f>IF(#REF!="",1,IF(#REF!="(blank)",--(R17=""),IF(#REF!="(nonblank)",--(R17&lt;&gt;""),--ISNUMBER(SEARCH(#REF!,R17)))))</f>
        <v>#REF!</v>
      </c>
      <c r="BD17" t="e">
        <f>IF(#REF!="",1,IF(#REF!="(blank)",--(S17=""),IF(#REF!="(nonblank)",--(S17&lt;&gt;""),--ISNUMBER(SEARCH(#REF!,S17)))))</f>
        <v>#REF!</v>
      </c>
      <c r="BE17" t="e">
        <f>IF(#REF!="",1,IF(#REF!="(blank)",--(T17=""),IF(#REF!="(nonblank)",--(T17&lt;&gt;""),--ISNUMBER(SEARCH(#REF!,T17)))))</f>
        <v>#REF!</v>
      </c>
      <c r="BF17" t="e">
        <f>IF(#REF!="",1,IF(#REF!="(blank)",--(U17=""),IF(#REF!="(nonblank)",--(U17&lt;&gt;""),--ISNUMBER(SEARCH(#REF!,U17)))))</f>
        <v>#REF!</v>
      </c>
      <c r="BG17" t="e">
        <f>IF(#REF!="",1,IF(#REF!="(blank)",--(V17=""),IF(#REF!="(nonblank)",--(V17&lt;&gt;""),--ISNUMBER(SEARCH(#REF!,V17)))))</f>
        <v>#REF!</v>
      </c>
      <c r="BH17" t="e">
        <f>IF(#REF!="",1,IF(#REF!="(blank)",--(W17=""),IF(#REF!="(nonblank)",--(W17&lt;&gt;""),--ISNUMBER(SEARCH(#REF!,W17)))))</f>
        <v>#REF!</v>
      </c>
      <c r="BI17" t="e">
        <f>IF(#REF!="",1,IF(#REF!="(blank)",--(X17=""),IF(#REF!="(nonblank)",--(X17&lt;&gt;""),--ISNUMBER(SEARCH(#REF!,X17)))))</f>
        <v>#REF!</v>
      </c>
      <c r="BJ17" t="e">
        <f>IF(#REF!="",1,IF(#REF!="(blank)",--(Y17=""),IF(#REF!="(nonblank)",--(Y17&lt;&gt;""),--ISNUMBER(SEARCH(#REF!,Y17)))))</f>
        <v>#REF!</v>
      </c>
      <c r="BK17" t="e">
        <f>IF(#REF!="",1,IF(#REF!="(blank)",--(Z17=""),IF(#REF!="(nonblank)",--(Z17&lt;&gt;""),--ISNUMBER(SEARCH(#REF!,Z17)))))</f>
        <v>#REF!</v>
      </c>
      <c r="BL17" t="e">
        <f>IF(#REF!="",1,IF(#REF!="(blank)",--(AA17=""),IF(#REF!="(nonblank)",--(AA17&lt;&gt;""),--ISNUMBER(SEARCH(#REF!,AA17)))))</f>
        <v>#REF!</v>
      </c>
      <c r="BM17" t="e">
        <f>IF(#REF!="",1,IF(#REF!="(blank)",--(AB17=""),IF(#REF!="(nonblank)",--(AB17&lt;&gt;""),--ISNUMBER(SEARCH(#REF!,AB17)))))</f>
        <v>#REF!</v>
      </c>
      <c r="BN17" t="e">
        <f>IF(#REF!="",1,IF(#REF!="(blank)",--(AC17=""),IF(#REF!="(nonblank)",--(AC17&lt;&gt;""),--ISNUMBER(SEARCH(#REF!,AC17)))))</f>
        <v>#REF!</v>
      </c>
      <c r="BO17" t="e">
        <f>IF(#REF!="",1,IF(#REF!="(blank)",--(AD17=""),IF(#REF!="(nonblank)",--(AD17&lt;&gt;""),--ISNUMBER(SEARCH(#REF!,AD17)))))</f>
        <v>#REF!</v>
      </c>
      <c r="BP17" t="e">
        <f>IF(#REF!="",1,IF(#REF!="(blank)",--(AE17=""),IF(#REF!="(nonblank)",--(AE17&lt;&gt;""),--ISNUMBER(SEARCH(#REF!,AE17)))))</f>
        <v>#REF!</v>
      </c>
      <c r="BQ17" t="e">
        <f>IF(#REF!="",1,IF(#REF!="(blank)",--(AF17=""),IF(#REF!="(nonblank)",--(AF17&lt;&gt;""),--ISNUMBER(SEARCH(#REF!,AF17)))))</f>
        <v>#REF!</v>
      </c>
      <c r="BR17" t="e">
        <f>IF(#REF!="",1,IF(#REF!="(blank)",--(AG17=""),IF(#REF!="(nonblank)",--(AG17&lt;&gt;""),--ISNUMBER(SEARCH(#REF!,AG17)))))</f>
        <v>#REF!</v>
      </c>
      <c r="BS17" t="e">
        <f>IF(#REF!="",1,IF(#REF!="(blank)",--(AH17=""),IF(#REF!="(nonblank)",--(AH17&lt;&gt;""),--ISNUMBER(SEARCH(#REF!,AH17)))))</f>
        <v>#REF!</v>
      </c>
      <c r="BT17">
        <f t="shared" si="16"/>
        <v>1</v>
      </c>
    </row>
    <row r="18" spans="1:72" ht="26.25" customHeight="1" x14ac:dyDescent="0.3">
      <c r="A18" s="31">
        <v>3500</v>
      </c>
      <c r="B18" s="32" t="s">
        <v>79</v>
      </c>
      <c r="C18" s="33">
        <v>333</v>
      </c>
      <c r="D18" s="34">
        <v>21978</v>
      </c>
      <c r="E18" s="34" t="s">
        <v>32</v>
      </c>
      <c r="F18" s="34">
        <v>2020</v>
      </c>
      <c r="G18" s="32" t="s">
        <v>51</v>
      </c>
      <c r="H18" s="35">
        <v>1165500</v>
      </c>
      <c r="I18" s="35">
        <f t="shared" si="0"/>
        <v>209790</v>
      </c>
      <c r="J18" s="35">
        <f t="shared" si="1"/>
        <v>1375290</v>
      </c>
      <c r="K18" s="35">
        <f t="shared" si="2"/>
        <v>27506</v>
      </c>
      <c r="L18" s="36">
        <f t="shared" si="3"/>
        <v>1165.5</v>
      </c>
      <c r="M18" s="36">
        <f t="shared" si="4"/>
        <v>30944.024999999998</v>
      </c>
      <c r="N18" s="37">
        <f t="shared" si="5"/>
        <v>524.47500000000002</v>
      </c>
      <c r="O18" s="36">
        <f t="shared" si="6"/>
        <v>30419.55</v>
      </c>
      <c r="P18" s="36">
        <f t="shared" si="7"/>
        <v>31585</v>
      </c>
      <c r="Q18" s="38">
        <v>0.02</v>
      </c>
      <c r="R18" s="36">
        <f t="shared" si="8"/>
        <v>23310</v>
      </c>
      <c r="S18" s="23">
        <f t="shared" ca="1" si="9"/>
        <v>1347901</v>
      </c>
      <c r="T18" s="36">
        <f t="shared" si="10"/>
        <v>291375</v>
      </c>
      <c r="U18" s="39">
        <v>291375</v>
      </c>
      <c r="V18" s="36" t="s">
        <v>80</v>
      </c>
      <c r="W18" s="36">
        <f t="shared" si="11"/>
        <v>1056526</v>
      </c>
      <c r="X18" s="36">
        <v>1056525</v>
      </c>
      <c r="Y18" s="36" t="s">
        <v>80</v>
      </c>
      <c r="Z18" s="36">
        <f t="shared" ca="1" si="12"/>
        <v>0</v>
      </c>
      <c r="AA18" s="36"/>
      <c r="AB18" s="36"/>
      <c r="AC18" s="11">
        <f t="shared" si="13"/>
        <v>1347900</v>
      </c>
      <c r="AD18" s="15">
        <f t="shared" ca="1" si="14"/>
        <v>1</v>
      </c>
      <c r="AE18" s="16" t="str">
        <f t="shared" ca="1" si="15"/>
        <v>SETTLED</v>
      </c>
      <c r="AF18" s="16" t="s">
        <v>81</v>
      </c>
      <c r="AG18" s="17">
        <v>1800003065</v>
      </c>
      <c r="AH18" s="18" t="s">
        <v>82</v>
      </c>
      <c r="AL18" t="e">
        <f>IF(#REF!="",1,IF(#REF!="(blank)",--(A18=""),IF(#REF!="(nonblank)",--(A18&lt;&gt;""),--ISNUMBER(SEARCH(#REF!,A18)))))</f>
        <v>#REF!</v>
      </c>
      <c r="AM18" t="e">
        <f>IF(#REF!="",1,IF(#REF!="(blank)",--(B18=""),IF(#REF!="(nonblank)",--(B18&lt;&gt;""),--ISNUMBER(SEARCH(#REF!,B18)))))</f>
        <v>#REF!</v>
      </c>
      <c r="AN18" t="e">
        <f>IF(#REF!="",1,IF(#REF!="(blank)",--(C18=""),IF(#REF!="(nonblank)",--(C18&lt;&gt;""),--ISNUMBER(SEARCH(#REF!,C18)))))</f>
        <v>#REF!</v>
      </c>
      <c r="AO18" t="e">
        <f>IF(#REF!="",1,IF(#REF!="(blank)",--(D18=""),IF(#REF!="(nonblank)",--(D18&lt;&gt;""),--ISNUMBER(SEARCH(#REF!,D18)))))</f>
        <v>#REF!</v>
      </c>
      <c r="AP18" t="e">
        <f>IF(#REF!="",1,IF(#REF!="(blank)",--(E18=""),IF(#REF!="(nonblank)",--(E18&lt;&gt;""),--ISNUMBER(SEARCH(#REF!,E18)))))</f>
        <v>#REF!</v>
      </c>
      <c r="AQ18" t="e">
        <f>IF(#REF!="",1,IF(#REF!="(blank)",--(F18=""),IF(#REF!="(nonblank)",--(F18&lt;&gt;""),--ISNUMBER(SEARCH(#REF!,F18)))))</f>
        <v>#REF!</v>
      </c>
      <c r="AR18" t="e">
        <f>IF(#REF!="",1,IF(#REF!="(blank)",--(G18=""),IF(#REF!="(nonblank)",--(G18&lt;&gt;""),--ISNUMBER(SEARCH(#REF!,G18)))))</f>
        <v>#REF!</v>
      </c>
      <c r="AS18" t="e">
        <f>IF(#REF!="",1,IF(#REF!="(blank)",--(H18=""),IF(#REF!="(nonblank)",--(H18&lt;&gt;""),--ISNUMBER(SEARCH(#REF!,H18)))))</f>
        <v>#REF!</v>
      </c>
      <c r="AT18" t="e">
        <f>IF(#REF!="",1,IF(#REF!="(blank)",--(I18=""),IF(#REF!="(nonblank)",--(I18&lt;&gt;""),--ISNUMBER(SEARCH(#REF!,I18)))))</f>
        <v>#REF!</v>
      </c>
      <c r="AU18" t="e">
        <f>IF(#REF!="",1,IF(#REF!="(blank)",--(J18=""),IF(#REF!="(nonblank)",--(J18&lt;&gt;""),--ISNUMBER(SEARCH(#REF!,J18)))))</f>
        <v>#REF!</v>
      </c>
      <c r="AV18" t="e">
        <f>IF(#REF!="",1,IF(#REF!="(blank)",--(K18=""),IF(#REF!="(nonblank)",--(K18&lt;&gt;""),--ISNUMBER(SEARCH(#REF!,K18)))))</f>
        <v>#REF!</v>
      </c>
      <c r="AW18" t="e">
        <f>IF(#REF!="",1,IF(#REF!="(blank)",--(L18=""),IF(#REF!="(nonblank)",--(L18&lt;&gt;""),--ISNUMBER(SEARCH(#REF!,L18)))))</f>
        <v>#REF!</v>
      </c>
      <c r="AX18" t="e">
        <f>IF(#REF!="",1,IF(#REF!="(blank)",--(M18=""),IF(#REF!="(nonblank)",--(M18&lt;&gt;""),--ISNUMBER(SEARCH(#REF!,M18)))))</f>
        <v>#REF!</v>
      </c>
      <c r="AY18" t="e">
        <f>IF(#REF!="",1,IF(#REF!="(blank)",--(N18=""),IF(#REF!="(nonblank)",--(N18&lt;&gt;""),--ISNUMBER(SEARCH(#REF!,N18)))))</f>
        <v>#REF!</v>
      </c>
      <c r="AZ18" t="e">
        <f>IF(#REF!="",1,IF(#REF!="(blank)",--(O18=""),IF(#REF!="(nonblank)",--(O18&lt;&gt;""),--ISNUMBER(SEARCH(#REF!,O18)))))</f>
        <v>#REF!</v>
      </c>
      <c r="BA18" t="e">
        <f>IF(#REF!="",1,IF(#REF!="(blank)",--(P18=""),IF(#REF!="(nonblank)",--(P18&lt;&gt;""),--ISNUMBER(SEARCH(#REF!,P18)))))</f>
        <v>#REF!</v>
      </c>
      <c r="BB18" t="e">
        <f>IF(#REF!="",1,IF(#REF!="(blank)",--(Q18=""),IF(#REF!="(nonblank)",--(Q18&lt;&gt;""),--ISNUMBER(SEARCH(#REF!,Q18)))))</f>
        <v>#REF!</v>
      </c>
      <c r="BC18" t="e">
        <f>IF(#REF!="",1,IF(#REF!="(blank)",--(R18=""),IF(#REF!="(nonblank)",--(R18&lt;&gt;""),--ISNUMBER(SEARCH(#REF!,R18)))))</f>
        <v>#REF!</v>
      </c>
      <c r="BD18" t="e">
        <f>IF(#REF!="",1,IF(#REF!="(blank)",--(S18=""),IF(#REF!="(nonblank)",--(S18&lt;&gt;""),--ISNUMBER(SEARCH(#REF!,S18)))))</f>
        <v>#REF!</v>
      </c>
      <c r="BE18" t="e">
        <f>IF(#REF!="",1,IF(#REF!="(blank)",--(T18=""),IF(#REF!="(nonblank)",--(T18&lt;&gt;""),--ISNUMBER(SEARCH(#REF!,T18)))))</f>
        <v>#REF!</v>
      </c>
      <c r="BF18" t="e">
        <f>IF(#REF!="",1,IF(#REF!="(blank)",--(U18=""),IF(#REF!="(nonblank)",--(U18&lt;&gt;""),--ISNUMBER(SEARCH(#REF!,U18)))))</f>
        <v>#REF!</v>
      </c>
      <c r="BG18" t="e">
        <f>IF(#REF!="",1,IF(#REF!="(blank)",--(V18=""),IF(#REF!="(nonblank)",--(V18&lt;&gt;""),--ISNUMBER(SEARCH(#REF!,V18)))))</f>
        <v>#REF!</v>
      </c>
      <c r="BH18" t="e">
        <f>IF(#REF!="",1,IF(#REF!="(blank)",--(W18=""),IF(#REF!="(nonblank)",--(W18&lt;&gt;""),--ISNUMBER(SEARCH(#REF!,W18)))))</f>
        <v>#REF!</v>
      </c>
      <c r="BI18" t="e">
        <f>IF(#REF!="",1,IF(#REF!="(blank)",--(X18=""),IF(#REF!="(nonblank)",--(X18&lt;&gt;""),--ISNUMBER(SEARCH(#REF!,X18)))))</f>
        <v>#REF!</v>
      </c>
      <c r="BJ18" t="e">
        <f>IF(#REF!="",1,IF(#REF!="(blank)",--(Y18=""),IF(#REF!="(nonblank)",--(Y18&lt;&gt;""),--ISNUMBER(SEARCH(#REF!,Y18)))))</f>
        <v>#REF!</v>
      </c>
      <c r="BK18" t="e">
        <f>IF(#REF!="",1,IF(#REF!="(blank)",--(Z18=""),IF(#REF!="(nonblank)",--(Z18&lt;&gt;""),--ISNUMBER(SEARCH(#REF!,Z18)))))</f>
        <v>#REF!</v>
      </c>
      <c r="BL18" t="e">
        <f>IF(#REF!="",1,IF(#REF!="(blank)",--(AA18=""),IF(#REF!="(nonblank)",--(AA18&lt;&gt;""),--ISNUMBER(SEARCH(#REF!,AA18)))))</f>
        <v>#REF!</v>
      </c>
      <c r="BM18" t="e">
        <f>IF(#REF!="",1,IF(#REF!="(blank)",--(AB18=""),IF(#REF!="(nonblank)",--(AB18&lt;&gt;""),--ISNUMBER(SEARCH(#REF!,AB18)))))</f>
        <v>#REF!</v>
      </c>
      <c r="BN18" t="e">
        <f>IF(#REF!="",1,IF(#REF!="(blank)",--(AC18=""),IF(#REF!="(nonblank)",--(AC18&lt;&gt;""),--ISNUMBER(SEARCH(#REF!,AC18)))))</f>
        <v>#REF!</v>
      </c>
      <c r="BO18" t="e">
        <f>IF(#REF!="",1,IF(#REF!="(blank)",--(AD18=""),IF(#REF!="(nonblank)",--(AD18&lt;&gt;""),--ISNUMBER(SEARCH(#REF!,AD18)))))</f>
        <v>#REF!</v>
      </c>
      <c r="BP18" t="e">
        <f>IF(#REF!="",1,IF(#REF!="(blank)",--(AE18=""),IF(#REF!="(nonblank)",--(AE18&lt;&gt;""),--ISNUMBER(SEARCH(#REF!,AE18)))))</f>
        <v>#REF!</v>
      </c>
      <c r="BQ18" t="e">
        <f>IF(#REF!="",1,IF(#REF!="(blank)",--(AF18=""),IF(#REF!="(nonblank)",--(AF18&lt;&gt;""),--ISNUMBER(SEARCH(#REF!,AF18)))))</f>
        <v>#REF!</v>
      </c>
      <c r="BR18" t="e">
        <f>IF(#REF!="",1,IF(#REF!="(blank)",--(AG18=""),IF(#REF!="(nonblank)",--(AG18&lt;&gt;""),--ISNUMBER(SEARCH(#REF!,AG18)))))</f>
        <v>#REF!</v>
      </c>
      <c r="BS18" t="e">
        <f>IF(#REF!="",1,IF(#REF!="(blank)",--(AH18=""),IF(#REF!="(nonblank)",--(AH18&lt;&gt;""),--ISNUMBER(SEARCH(#REF!,AH18)))))</f>
        <v>#REF!</v>
      </c>
      <c r="BT18">
        <f t="shared" si="16"/>
        <v>1</v>
      </c>
    </row>
    <row r="19" spans="1:72" ht="39" customHeight="1" x14ac:dyDescent="0.3">
      <c r="A19" s="19">
        <v>3</v>
      </c>
      <c r="B19" s="20" t="s">
        <v>58</v>
      </c>
      <c r="C19" s="21">
        <v>110200</v>
      </c>
      <c r="D19" s="22">
        <v>21978</v>
      </c>
      <c r="E19" s="22" t="s">
        <v>38</v>
      </c>
      <c r="F19" s="22">
        <v>2022</v>
      </c>
      <c r="G19" s="20" t="s">
        <v>83</v>
      </c>
      <c r="H19" s="23">
        <v>330600</v>
      </c>
      <c r="I19" s="23">
        <f t="shared" si="0"/>
        <v>59508</v>
      </c>
      <c r="J19" s="23">
        <f t="shared" si="1"/>
        <v>390108</v>
      </c>
      <c r="K19" s="23">
        <f t="shared" si="2"/>
        <v>7802</v>
      </c>
      <c r="L19" s="24">
        <f t="shared" si="3"/>
        <v>330.6</v>
      </c>
      <c r="M19" s="24">
        <f t="shared" si="4"/>
        <v>8777.43</v>
      </c>
      <c r="N19" s="25">
        <f t="shared" si="5"/>
        <v>148.77000000000001</v>
      </c>
      <c r="O19" s="24">
        <f t="shared" si="6"/>
        <v>8628.66</v>
      </c>
      <c r="P19" s="24">
        <f t="shared" si="7"/>
        <v>8959</v>
      </c>
      <c r="Q19" s="26">
        <v>0</v>
      </c>
      <c r="R19" s="24">
        <f t="shared" si="8"/>
        <v>0</v>
      </c>
      <c r="S19" s="23">
        <f t="shared" ca="1" si="9"/>
        <v>388951</v>
      </c>
      <c r="T19" s="24">
        <f t="shared" si="10"/>
        <v>82650</v>
      </c>
      <c r="U19" s="27">
        <f>+T19</f>
        <v>82650</v>
      </c>
      <c r="V19" s="24" t="s">
        <v>52</v>
      </c>
      <c r="W19" s="24">
        <f t="shared" si="11"/>
        <v>306301</v>
      </c>
      <c r="X19" s="24">
        <v>306301</v>
      </c>
      <c r="Y19" s="24" t="s">
        <v>84</v>
      </c>
      <c r="Z19" s="24">
        <f t="shared" ca="1" si="12"/>
        <v>0</v>
      </c>
      <c r="AA19" s="24"/>
      <c r="AB19" s="24"/>
      <c r="AC19" s="28">
        <f t="shared" si="13"/>
        <v>388951</v>
      </c>
      <c r="AD19" s="28">
        <f t="shared" ca="1" si="14"/>
        <v>0</v>
      </c>
      <c r="AE19" s="24" t="str">
        <f t="shared" ca="1" si="15"/>
        <v>SETTLED</v>
      </c>
      <c r="AF19" s="24" t="s">
        <v>85</v>
      </c>
      <c r="AG19" s="29">
        <v>1800003269</v>
      </c>
      <c r="AH19" s="30" t="s">
        <v>34</v>
      </c>
      <c r="AL19" t="e">
        <f>IF(#REF!="",1,IF(#REF!="(blank)",--(A19=""),IF(#REF!="(nonblank)",--(A19&lt;&gt;""),--ISNUMBER(SEARCH(#REF!,A19)))))</f>
        <v>#REF!</v>
      </c>
      <c r="AM19" t="e">
        <f>IF(#REF!="",1,IF(#REF!="(blank)",--(B19=""),IF(#REF!="(nonblank)",--(B19&lt;&gt;""),--ISNUMBER(SEARCH(#REF!,B19)))))</f>
        <v>#REF!</v>
      </c>
      <c r="AN19" t="e">
        <f>IF(#REF!="",1,IF(#REF!="(blank)",--(C19=""),IF(#REF!="(nonblank)",--(C19&lt;&gt;""),--ISNUMBER(SEARCH(#REF!,C19)))))</f>
        <v>#REF!</v>
      </c>
      <c r="AO19" t="e">
        <f>IF(#REF!="",1,IF(#REF!="(blank)",--(D19=""),IF(#REF!="(nonblank)",--(D19&lt;&gt;""),--ISNUMBER(SEARCH(#REF!,D19)))))</f>
        <v>#REF!</v>
      </c>
      <c r="AP19" t="e">
        <f>IF(#REF!="",1,IF(#REF!="(blank)",--(E19=""),IF(#REF!="(nonblank)",--(E19&lt;&gt;""),--ISNUMBER(SEARCH(#REF!,E19)))))</f>
        <v>#REF!</v>
      </c>
      <c r="AQ19" t="e">
        <f>IF(#REF!="",1,IF(#REF!="(blank)",--(F19=""),IF(#REF!="(nonblank)",--(F19&lt;&gt;""),--ISNUMBER(SEARCH(#REF!,F19)))))</f>
        <v>#REF!</v>
      </c>
      <c r="AR19" t="e">
        <f>IF(#REF!="",1,IF(#REF!="(blank)",--(G19=""),IF(#REF!="(nonblank)",--(G19&lt;&gt;""),--ISNUMBER(SEARCH(#REF!,G19)))))</f>
        <v>#REF!</v>
      </c>
      <c r="AS19" t="e">
        <f>IF(#REF!="",1,IF(#REF!="(blank)",--(H19=""),IF(#REF!="(nonblank)",--(H19&lt;&gt;""),--ISNUMBER(SEARCH(#REF!,H19)))))</f>
        <v>#REF!</v>
      </c>
      <c r="AT19" t="e">
        <f>IF(#REF!="",1,IF(#REF!="(blank)",--(I19=""),IF(#REF!="(nonblank)",--(I19&lt;&gt;""),--ISNUMBER(SEARCH(#REF!,I19)))))</f>
        <v>#REF!</v>
      </c>
      <c r="AU19" t="e">
        <f>IF(#REF!="",1,IF(#REF!="(blank)",--(J19=""),IF(#REF!="(nonblank)",--(J19&lt;&gt;""),--ISNUMBER(SEARCH(#REF!,J19)))))</f>
        <v>#REF!</v>
      </c>
      <c r="AV19" t="e">
        <f>IF(#REF!="",1,IF(#REF!="(blank)",--(K19=""),IF(#REF!="(nonblank)",--(K19&lt;&gt;""),--ISNUMBER(SEARCH(#REF!,K19)))))</f>
        <v>#REF!</v>
      </c>
      <c r="AW19" t="e">
        <f>IF(#REF!="",1,IF(#REF!="(blank)",--(L19=""),IF(#REF!="(nonblank)",--(L19&lt;&gt;""),--ISNUMBER(SEARCH(#REF!,L19)))))</f>
        <v>#REF!</v>
      </c>
      <c r="AX19" t="e">
        <f>IF(#REF!="",1,IF(#REF!="(blank)",--(M19=""),IF(#REF!="(nonblank)",--(M19&lt;&gt;""),--ISNUMBER(SEARCH(#REF!,M19)))))</f>
        <v>#REF!</v>
      </c>
      <c r="AY19" t="e">
        <f>IF(#REF!="",1,IF(#REF!="(blank)",--(N19=""),IF(#REF!="(nonblank)",--(N19&lt;&gt;""),--ISNUMBER(SEARCH(#REF!,N19)))))</f>
        <v>#REF!</v>
      </c>
      <c r="AZ19" t="e">
        <f>IF(#REF!="",1,IF(#REF!="(blank)",--(O19=""),IF(#REF!="(nonblank)",--(O19&lt;&gt;""),--ISNUMBER(SEARCH(#REF!,O19)))))</f>
        <v>#REF!</v>
      </c>
      <c r="BA19" t="e">
        <f>IF(#REF!="",1,IF(#REF!="(blank)",--(P19=""),IF(#REF!="(nonblank)",--(P19&lt;&gt;""),--ISNUMBER(SEARCH(#REF!,P19)))))</f>
        <v>#REF!</v>
      </c>
      <c r="BB19" t="e">
        <f>IF(#REF!="",1,IF(#REF!="(blank)",--(Q19=""),IF(#REF!="(nonblank)",--(Q19&lt;&gt;""),--ISNUMBER(SEARCH(#REF!,Q19)))))</f>
        <v>#REF!</v>
      </c>
      <c r="BC19" t="e">
        <f>IF(#REF!="",1,IF(#REF!="(blank)",--(R19=""),IF(#REF!="(nonblank)",--(R19&lt;&gt;""),--ISNUMBER(SEARCH(#REF!,R19)))))</f>
        <v>#REF!</v>
      </c>
      <c r="BD19" t="e">
        <f>IF(#REF!="",1,IF(#REF!="(blank)",--(S19=""),IF(#REF!="(nonblank)",--(S19&lt;&gt;""),--ISNUMBER(SEARCH(#REF!,S19)))))</f>
        <v>#REF!</v>
      </c>
      <c r="BE19" t="e">
        <f>IF(#REF!="",1,IF(#REF!="(blank)",--(T19=""),IF(#REF!="(nonblank)",--(T19&lt;&gt;""),--ISNUMBER(SEARCH(#REF!,T19)))))</f>
        <v>#REF!</v>
      </c>
      <c r="BF19" t="e">
        <f>IF(#REF!="",1,IF(#REF!="(blank)",--(U19=""),IF(#REF!="(nonblank)",--(U19&lt;&gt;""),--ISNUMBER(SEARCH(#REF!,U19)))))</f>
        <v>#REF!</v>
      </c>
      <c r="BG19" t="e">
        <f>IF(#REF!="",1,IF(#REF!="(blank)",--(V19=""),IF(#REF!="(nonblank)",--(V19&lt;&gt;""),--ISNUMBER(SEARCH(#REF!,V19)))))</f>
        <v>#REF!</v>
      </c>
      <c r="BH19" t="e">
        <f>IF(#REF!="",1,IF(#REF!="(blank)",--(W19=""),IF(#REF!="(nonblank)",--(W19&lt;&gt;""),--ISNUMBER(SEARCH(#REF!,W19)))))</f>
        <v>#REF!</v>
      </c>
      <c r="BI19" t="e">
        <f>IF(#REF!="",1,IF(#REF!="(blank)",--(X19=""),IF(#REF!="(nonblank)",--(X19&lt;&gt;""),--ISNUMBER(SEARCH(#REF!,X19)))))</f>
        <v>#REF!</v>
      </c>
      <c r="BJ19" t="e">
        <f>IF(#REF!="",1,IF(#REF!="(blank)",--(Y19=""),IF(#REF!="(nonblank)",--(Y19&lt;&gt;""),--ISNUMBER(SEARCH(#REF!,Y19)))))</f>
        <v>#REF!</v>
      </c>
      <c r="BK19" t="e">
        <f>IF(#REF!="",1,IF(#REF!="(blank)",--(Z19=""),IF(#REF!="(nonblank)",--(Z19&lt;&gt;""),--ISNUMBER(SEARCH(#REF!,Z19)))))</f>
        <v>#REF!</v>
      </c>
      <c r="BL19" t="e">
        <f>IF(#REF!="",1,IF(#REF!="(blank)",--(AA19=""),IF(#REF!="(nonblank)",--(AA19&lt;&gt;""),--ISNUMBER(SEARCH(#REF!,AA19)))))</f>
        <v>#REF!</v>
      </c>
      <c r="BM19" t="e">
        <f>IF(#REF!="",1,IF(#REF!="(blank)",--(AB19=""),IF(#REF!="(nonblank)",--(AB19&lt;&gt;""),--ISNUMBER(SEARCH(#REF!,AB19)))))</f>
        <v>#REF!</v>
      </c>
      <c r="BN19" t="e">
        <f>IF(#REF!="",1,IF(#REF!="(blank)",--(AC19=""),IF(#REF!="(nonblank)",--(AC19&lt;&gt;""),--ISNUMBER(SEARCH(#REF!,AC19)))))</f>
        <v>#REF!</v>
      </c>
      <c r="BO19" t="e">
        <f>IF(#REF!="",1,IF(#REF!="(blank)",--(AD19=""),IF(#REF!="(nonblank)",--(AD19&lt;&gt;""),--ISNUMBER(SEARCH(#REF!,AD19)))))</f>
        <v>#REF!</v>
      </c>
      <c r="BP19" t="e">
        <f>IF(#REF!="",1,IF(#REF!="(blank)",--(AE19=""),IF(#REF!="(nonblank)",--(AE19&lt;&gt;""),--ISNUMBER(SEARCH(#REF!,AE19)))))</f>
        <v>#REF!</v>
      </c>
      <c r="BQ19" t="e">
        <f>IF(#REF!="",1,IF(#REF!="(blank)",--(AF19=""),IF(#REF!="(nonblank)",--(AF19&lt;&gt;""),--ISNUMBER(SEARCH(#REF!,AF19)))))</f>
        <v>#REF!</v>
      </c>
      <c r="BR19" t="e">
        <f>IF(#REF!="",1,IF(#REF!="(blank)",--(AG19=""),IF(#REF!="(nonblank)",--(AG19&lt;&gt;""),--ISNUMBER(SEARCH(#REF!,AG19)))))</f>
        <v>#REF!</v>
      </c>
      <c r="BS19" t="e">
        <f>IF(#REF!="",1,IF(#REF!="(blank)",--(AH19=""),IF(#REF!="(nonblank)",--(AH19&lt;&gt;""),--ISNUMBER(SEARCH(#REF!,AH19)))))</f>
        <v>#REF!</v>
      </c>
      <c r="BT19">
        <f t="shared" si="16"/>
        <v>1</v>
      </c>
    </row>
    <row r="20" spans="1:72" ht="14.25" customHeight="1" x14ac:dyDescent="0.3">
      <c r="A20" s="31">
        <v>3</v>
      </c>
      <c r="B20" s="32" t="s">
        <v>58</v>
      </c>
      <c r="C20" s="33">
        <v>83743</v>
      </c>
      <c r="D20" s="34">
        <v>21978</v>
      </c>
      <c r="E20" s="34" t="s">
        <v>38</v>
      </c>
      <c r="F20" s="34">
        <v>2023</v>
      </c>
      <c r="G20" s="32" t="s">
        <v>39</v>
      </c>
      <c r="H20" s="35">
        <v>251229</v>
      </c>
      <c r="I20" s="35">
        <f t="shared" si="0"/>
        <v>45221</v>
      </c>
      <c r="J20" s="35">
        <f t="shared" si="1"/>
        <v>296450</v>
      </c>
      <c r="K20" s="35">
        <f t="shared" si="2"/>
        <v>5929</v>
      </c>
      <c r="L20" s="36">
        <f t="shared" si="3"/>
        <v>251.22900000000001</v>
      </c>
      <c r="M20" s="36">
        <f t="shared" si="4"/>
        <v>6670.1299499999996</v>
      </c>
      <c r="N20" s="37">
        <f t="shared" si="5"/>
        <v>113.05305</v>
      </c>
      <c r="O20" s="36">
        <f t="shared" si="6"/>
        <v>6557.0768999999991</v>
      </c>
      <c r="P20" s="36">
        <f t="shared" si="7"/>
        <v>6808</v>
      </c>
      <c r="Q20" s="38">
        <v>0</v>
      </c>
      <c r="R20" s="36">
        <f t="shared" si="8"/>
        <v>0</v>
      </c>
      <c r="S20" s="23">
        <f t="shared" ca="1" si="9"/>
        <v>295571</v>
      </c>
      <c r="T20" s="36">
        <f t="shared" si="10"/>
        <v>62807</v>
      </c>
      <c r="U20" s="39">
        <f>+T20</f>
        <v>62807</v>
      </c>
      <c r="V20" s="36" t="s">
        <v>40</v>
      </c>
      <c r="W20" s="36">
        <f t="shared" si="11"/>
        <v>232764</v>
      </c>
      <c r="X20" s="36">
        <v>232764</v>
      </c>
      <c r="Y20" s="36" t="s">
        <v>34</v>
      </c>
      <c r="Z20" s="36">
        <f t="shared" ca="1" si="12"/>
        <v>0</v>
      </c>
      <c r="AA20" s="36"/>
      <c r="AB20" s="36"/>
      <c r="AC20" s="11">
        <f t="shared" si="13"/>
        <v>295571</v>
      </c>
      <c r="AD20" s="15">
        <f t="shared" ca="1" si="14"/>
        <v>0</v>
      </c>
      <c r="AE20" s="16" t="str">
        <f t="shared" ca="1" si="15"/>
        <v>SETTLED</v>
      </c>
      <c r="AF20" s="16" t="s">
        <v>86</v>
      </c>
      <c r="AG20" s="17">
        <v>1800003308</v>
      </c>
      <c r="AH20" s="18" t="s">
        <v>42</v>
      </c>
      <c r="AL20" t="e">
        <f>IF(#REF!="",1,IF(#REF!="(blank)",--(A20=""),IF(#REF!="(nonblank)",--(A20&lt;&gt;""),--ISNUMBER(SEARCH(#REF!,A20)))))</f>
        <v>#REF!</v>
      </c>
      <c r="AM20" t="e">
        <f>IF(#REF!="",1,IF(#REF!="(blank)",--(B20=""),IF(#REF!="(nonblank)",--(B20&lt;&gt;""),--ISNUMBER(SEARCH(#REF!,B20)))))</f>
        <v>#REF!</v>
      </c>
      <c r="AN20" t="e">
        <f>IF(#REF!="",1,IF(#REF!="(blank)",--(C20=""),IF(#REF!="(nonblank)",--(C20&lt;&gt;""),--ISNUMBER(SEARCH(#REF!,C20)))))</f>
        <v>#REF!</v>
      </c>
      <c r="AO20" t="e">
        <f>IF(#REF!="",1,IF(#REF!="(blank)",--(D20=""),IF(#REF!="(nonblank)",--(D20&lt;&gt;""),--ISNUMBER(SEARCH(#REF!,D20)))))</f>
        <v>#REF!</v>
      </c>
      <c r="AP20" t="e">
        <f>IF(#REF!="",1,IF(#REF!="(blank)",--(E20=""),IF(#REF!="(nonblank)",--(E20&lt;&gt;""),--ISNUMBER(SEARCH(#REF!,E20)))))</f>
        <v>#REF!</v>
      </c>
      <c r="AQ20" t="e">
        <f>IF(#REF!="",1,IF(#REF!="(blank)",--(F20=""),IF(#REF!="(nonblank)",--(F20&lt;&gt;""),--ISNUMBER(SEARCH(#REF!,F20)))))</f>
        <v>#REF!</v>
      </c>
      <c r="AR20" t="e">
        <f>IF(#REF!="",1,IF(#REF!="(blank)",--(G20=""),IF(#REF!="(nonblank)",--(G20&lt;&gt;""),--ISNUMBER(SEARCH(#REF!,G20)))))</f>
        <v>#REF!</v>
      </c>
      <c r="AS20" t="e">
        <f>IF(#REF!="",1,IF(#REF!="(blank)",--(H20=""),IF(#REF!="(nonblank)",--(H20&lt;&gt;""),--ISNUMBER(SEARCH(#REF!,H20)))))</f>
        <v>#REF!</v>
      </c>
      <c r="AT20" t="e">
        <f>IF(#REF!="",1,IF(#REF!="(blank)",--(I20=""),IF(#REF!="(nonblank)",--(I20&lt;&gt;""),--ISNUMBER(SEARCH(#REF!,I20)))))</f>
        <v>#REF!</v>
      </c>
      <c r="AU20" t="e">
        <f>IF(#REF!="",1,IF(#REF!="(blank)",--(J20=""),IF(#REF!="(nonblank)",--(J20&lt;&gt;""),--ISNUMBER(SEARCH(#REF!,J20)))))</f>
        <v>#REF!</v>
      </c>
      <c r="AV20" t="e">
        <f>IF(#REF!="",1,IF(#REF!="(blank)",--(K20=""),IF(#REF!="(nonblank)",--(K20&lt;&gt;""),--ISNUMBER(SEARCH(#REF!,K20)))))</f>
        <v>#REF!</v>
      </c>
      <c r="AW20" t="e">
        <f>IF(#REF!="",1,IF(#REF!="(blank)",--(L20=""),IF(#REF!="(nonblank)",--(L20&lt;&gt;""),--ISNUMBER(SEARCH(#REF!,L20)))))</f>
        <v>#REF!</v>
      </c>
      <c r="AX20" t="e">
        <f>IF(#REF!="",1,IF(#REF!="(blank)",--(M20=""),IF(#REF!="(nonblank)",--(M20&lt;&gt;""),--ISNUMBER(SEARCH(#REF!,M20)))))</f>
        <v>#REF!</v>
      </c>
      <c r="AY20" t="e">
        <f>IF(#REF!="",1,IF(#REF!="(blank)",--(N20=""),IF(#REF!="(nonblank)",--(N20&lt;&gt;""),--ISNUMBER(SEARCH(#REF!,N20)))))</f>
        <v>#REF!</v>
      </c>
      <c r="AZ20" t="e">
        <f>IF(#REF!="",1,IF(#REF!="(blank)",--(O20=""),IF(#REF!="(nonblank)",--(O20&lt;&gt;""),--ISNUMBER(SEARCH(#REF!,O20)))))</f>
        <v>#REF!</v>
      </c>
      <c r="BA20" t="e">
        <f>IF(#REF!="",1,IF(#REF!="(blank)",--(P20=""),IF(#REF!="(nonblank)",--(P20&lt;&gt;""),--ISNUMBER(SEARCH(#REF!,P20)))))</f>
        <v>#REF!</v>
      </c>
      <c r="BB20" t="e">
        <f>IF(#REF!="",1,IF(#REF!="(blank)",--(Q20=""),IF(#REF!="(nonblank)",--(Q20&lt;&gt;""),--ISNUMBER(SEARCH(#REF!,Q20)))))</f>
        <v>#REF!</v>
      </c>
      <c r="BC20" t="e">
        <f>IF(#REF!="",1,IF(#REF!="(blank)",--(R20=""),IF(#REF!="(nonblank)",--(R20&lt;&gt;""),--ISNUMBER(SEARCH(#REF!,R20)))))</f>
        <v>#REF!</v>
      </c>
      <c r="BD20" t="e">
        <f>IF(#REF!="",1,IF(#REF!="(blank)",--(S20=""),IF(#REF!="(nonblank)",--(S20&lt;&gt;""),--ISNUMBER(SEARCH(#REF!,S20)))))</f>
        <v>#REF!</v>
      </c>
      <c r="BE20" t="e">
        <f>IF(#REF!="",1,IF(#REF!="(blank)",--(T20=""),IF(#REF!="(nonblank)",--(T20&lt;&gt;""),--ISNUMBER(SEARCH(#REF!,T20)))))</f>
        <v>#REF!</v>
      </c>
      <c r="BF20" t="e">
        <f>IF(#REF!="",1,IF(#REF!="(blank)",--(U20=""),IF(#REF!="(nonblank)",--(U20&lt;&gt;""),--ISNUMBER(SEARCH(#REF!,U20)))))</f>
        <v>#REF!</v>
      </c>
      <c r="BG20" t="e">
        <f>IF(#REF!="",1,IF(#REF!="(blank)",--(V20=""),IF(#REF!="(nonblank)",--(V20&lt;&gt;""),--ISNUMBER(SEARCH(#REF!,V20)))))</f>
        <v>#REF!</v>
      </c>
      <c r="BH20" t="e">
        <f>IF(#REF!="",1,IF(#REF!="(blank)",--(W20=""),IF(#REF!="(nonblank)",--(W20&lt;&gt;""),--ISNUMBER(SEARCH(#REF!,W20)))))</f>
        <v>#REF!</v>
      </c>
      <c r="BI20" t="e">
        <f>IF(#REF!="",1,IF(#REF!="(blank)",--(X20=""),IF(#REF!="(nonblank)",--(X20&lt;&gt;""),--ISNUMBER(SEARCH(#REF!,X20)))))</f>
        <v>#REF!</v>
      </c>
      <c r="BJ20" t="e">
        <f>IF(#REF!="",1,IF(#REF!="(blank)",--(Y20=""),IF(#REF!="(nonblank)",--(Y20&lt;&gt;""),--ISNUMBER(SEARCH(#REF!,Y20)))))</f>
        <v>#REF!</v>
      </c>
      <c r="BK20" t="e">
        <f>IF(#REF!="",1,IF(#REF!="(blank)",--(Z20=""),IF(#REF!="(nonblank)",--(Z20&lt;&gt;""),--ISNUMBER(SEARCH(#REF!,Z20)))))</f>
        <v>#REF!</v>
      </c>
      <c r="BL20" t="e">
        <f>IF(#REF!="",1,IF(#REF!="(blank)",--(AA20=""),IF(#REF!="(nonblank)",--(AA20&lt;&gt;""),--ISNUMBER(SEARCH(#REF!,AA20)))))</f>
        <v>#REF!</v>
      </c>
      <c r="BM20" t="e">
        <f>IF(#REF!="",1,IF(#REF!="(blank)",--(AB20=""),IF(#REF!="(nonblank)",--(AB20&lt;&gt;""),--ISNUMBER(SEARCH(#REF!,AB20)))))</f>
        <v>#REF!</v>
      </c>
      <c r="BN20" t="e">
        <f>IF(#REF!="",1,IF(#REF!="(blank)",--(AC20=""),IF(#REF!="(nonblank)",--(AC20&lt;&gt;""),--ISNUMBER(SEARCH(#REF!,AC20)))))</f>
        <v>#REF!</v>
      </c>
      <c r="BO20" t="e">
        <f>IF(#REF!="",1,IF(#REF!="(blank)",--(AD20=""),IF(#REF!="(nonblank)",--(AD20&lt;&gt;""),--ISNUMBER(SEARCH(#REF!,AD20)))))</f>
        <v>#REF!</v>
      </c>
      <c r="BP20" t="e">
        <f>IF(#REF!="",1,IF(#REF!="(blank)",--(AE20=""),IF(#REF!="(nonblank)",--(AE20&lt;&gt;""),--ISNUMBER(SEARCH(#REF!,AE20)))))</f>
        <v>#REF!</v>
      </c>
      <c r="BQ20" t="e">
        <f>IF(#REF!="",1,IF(#REF!="(blank)",--(AF20=""),IF(#REF!="(nonblank)",--(AF20&lt;&gt;""),--ISNUMBER(SEARCH(#REF!,AF20)))))</f>
        <v>#REF!</v>
      </c>
      <c r="BR20" t="e">
        <f>IF(#REF!="",1,IF(#REF!="(blank)",--(AG20=""),IF(#REF!="(nonblank)",--(AG20&lt;&gt;""),--ISNUMBER(SEARCH(#REF!,AG20)))))</f>
        <v>#REF!</v>
      </c>
      <c r="BS20" t="e">
        <f>IF(#REF!="",1,IF(#REF!="(blank)",--(AH20=""),IF(#REF!="(nonblank)",--(AH20&lt;&gt;""),--ISNUMBER(SEARCH(#REF!,AH20)))))</f>
        <v>#REF!</v>
      </c>
      <c r="BT20">
        <f t="shared" si="16"/>
        <v>1</v>
      </c>
    </row>
    <row r="21" spans="1:72" ht="14.25" customHeight="1" x14ac:dyDescent="0.3">
      <c r="A21" s="19">
        <v>90</v>
      </c>
      <c r="B21" s="20" t="s">
        <v>74</v>
      </c>
      <c r="C21" s="21">
        <v>700</v>
      </c>
      <c r="D21" s="22">
        <v>21978</v>
      </c>
      <c r="E21" s="22" t="s">
        <v>38</v>
      </c>
      <c r="F21" s="22">
        <v>2025</v>
      </c>
      <c r="G21" s="20" t="s">
        <v>65</v>
      </c>
      <c r="H21" s="23">
        <v>63000</v>
      </c>
      <c r="I21" s="23">
        <f t="shared" si="0"/>
        <v>11340</v>
      </c>
      <c r="J21" s="23">
        <f t="shared" si="1"/>
        <v>74340</v>
      </c>
      <c r="K21" s="23">
        <f t="shared" si="2"/>
        <v>1487</v>
      </c>
      <c r="L21" s="24">
        <f t="shared" si="3"/>
        <v>63</v>
      </c>
      <c r="M21" s="24">
        <f t="shared" si="4"/>
        <v>1672.6499999999999</v>
      </c>
      <c r="N21" s="25">
        <f t="shared" si="5"/>
        <v>28.35</v>
      </c>
      <c r="O21" s="24">
        <f t="shared" si="6"/>
        <v>1644.3</v>
      </c>
      <c r="P21" s="24">
        <f t="shared" si="7"/>
        <v>1707</v>
      </c>
      <c r="Q21" s="26">
        <v>0</v>
      </c>
      <c r="R21" s="24">
        <f t="shared" si="8"/>
        <v>0</v>
      </c>
      <c r="S21" s="23">
        <f t="shared" ca="1" si="9"/>
        <v>74120</v>
      </c>
      <c r="T21" s="24">
        <f t="shared" si="10"/>
        <v>15750</v>
      </c>
      <c r="U21" s="27">
        <v>15750</v>
      </c>
      <c r="V21" s="24" t="s">
        <v>45</v>
      </c>
      <c r="W21" s="24">
        <f t="shared" si="11"/>
        <v>58370</v>
      </c>
      <c r="X21" s="24">
        <v>58418</v>
      </c>
      <c r="Y21" s="24" t="s">
        <v>45</v>
      </c>
      <c r="Z21" s="24">
        <f t="shared" ca="1" si="12"/>
        <v>0</v>
      </c>
      <c r="AA21" s="24"/>
      <c r="AB21" s="24"/>
      <c r="AC21" s="28">
        <f t="shared" si="13"/>
        <v>74168</v>
      </c>
      <c r="AD21" s="28">
        <f t="shared" ca="1" si="14"/>
        <v>-48</v>
      </c>
      <c r="AE21" s="24" t="str">
        <f t="shared" ca="1" si="15"/>
        <v>SETTLED</v>
      </c>
      <c r="AF21" s="24" t="s">
        <v>87</v>
      </c>
      <c r="AG21" s="29">
        <v>1800003160</v>
      </c>
      <c r="AH21" s="30" t="s">
        <v>52</v>
      </c>
      <c r="AL21" t="e">
        <f>IF(#REF!="",1,IF(#REF!="(blank)",--(A21=""),IF(#REF!="(nonblank)",--(A21&lt;&gt;""),--ISNUMBER(SEARCH(#REF!,A21)))))</f>
        <v>#REF!</v>
      </c>
      <c r="AM21" t="e">
        <f>IF(#REF!="",1,IF(#REF!="(blank)",--(B21=""),IF(#REF!="(nonblank)",--(B21&lt;&gt;""),--ISNUMBER(SEARCH(#REF!,B21)))))</f>
        <v>#REF!</v>
      </c>
      <c r="AN21" t="e">
        <f>IF(#REF!="",1,IF(#REF!="(blank)",--(C21=""),IF(#REF!="(nonblank)",--(C21&lt;&gt;""),--ISNUMBER(SEARCH(#REF!,C21)))))</f>
        <v>#REF!</v>
      </c>
      <c r="AO21" t="e">
        <f>IF(#REF!="",1,IF(#REF!="(blank)",--(D21=""),IF(#REF!="(nonblank)",--(D21&lt;&gt;""),--ISNUMBER(SEARCH(#REF!,D21)))))</f>
        <v>#REF!</v>
      </c>
      <c r="AP21" t="e">
        <f>IF(#REF!="",1,IF(#REF!="(blank)",--(E21=""),IF(#REF!="(nonblank)",--(E21&lt;&gt;""),--ISNUMBER(SEARCH(#REF!,E21)))))</f>
        <v>#REF!</v>
      </c>
      <c r="AQ21" t="e">
        <f>IF(#REF!="",1,IF(#REF!="(blank)",--(F21=""),IF(#REF!="(nonblank)",--(F21&lt;&gt;""),--ISNUMBER(SEARCH(#REF!,F21)))))</f>
        <v>#REF!</v>
      </c>
      <c r="AR21" t="e">
        <f>IF(#REF!="",1,IF(#REF!="(blank)",--(G21=""),IF(#REF!="(nonblank)",--(G21&lt;&gt;""),--ISNUMBER(SEARCH(#REF!,G21)))))</f>
        <v>#REF!</v>
      </c>
      <c r="AS21" t="e">
        <f>IF(#REF!="",1,IF(#REF!="(blank)",--(H21=""),IF(#REF!="(nonblank)",--(H21&lt;&gt;""),--ISNUMBER(SEARCH(#REF!,H21)))))</f>
        <v>#REF!</v>
      </c>
      <c r="AT21" t="e">
        <f>IF(#REF!="",1,IF(#REF!="(blank)",--(I21=""),IF(#REF!="(nonblank)",--(I21&lt;&gt;""),--ISNUMBER(SEARCH(#REF!,I21)))))</f>
        <v>#REF!</v>
      </c>
      <c r="AU21" t="e">
        <f>IF(#REF!="",1,IF(#REF!="(blank)",--(J21=""),IF(#REF!="(nonblank)",--(J21&lt;&gt;""),--ISNUMBER(SEARCH(#REF!,J21)))))</f>
        <v>#REF!</v>
      </c>
      <c r="AV21" t="e">
        <f>IF(#REF!="",1,IF(#REF!="(blank)",--(K21=""),IF(#REF!="(nonblank)",--(K21&lt;&gt;""),--ISNUMBER(SEARCH(#REF!,K21)))))</f>
        <v>#REF!</v>
      </c>
      <c r="AW21" t="e">
        <f>IF(#REF!="",1,IF(#REF!="(blank)",--(L21=""),IF(#REF!="(nonblank)",--(L21&lt;&gt;""),--ISNUMBER(SEARCH(#REF!,L21)))))</f>
        <v>#REF!</v>
      </c>
      <c r="AX21" t="e">
        <f>IF(#REF!="",1,IF(#REF!="(blank)",--(M21=""),IF(#REF!="(nonblank)",--(M21&lt;&gt;""),--ISNUMBER(SEARCH(#REF!,M21)))))</f>
        <v>#REF!</v>
      </c>
      <c r="AY21" t="e">
        <f>IF(#REF!="",1,IF(#REF!="(blank)",--(N21=""),IF(#REF!="(nonblank)",--(N21&lt;&gt;""),--ISNUMBER(SEARCH(#REF!,N21)))))</f>
        <v>#REF!</v>
      </c>
      <c r="AZ21" t="e">
        <f>IF(#REF!="",1,IF(#REF!="(blank)",--(O21=""),IF(#REF!="(nonblank)",--(O21&lt;&gt;""),--ISNUMBER(SEARCH(#REF!,O21)))))</f>
        <v>#REF!</v>
      </c>
      <c r="BA21" t="e">
        <f>IF(#REF!="",1,IF(#REF!="(blank)",--(P21=""),IF(#REF!="(nonblank)",--(P21&lt;&gt;""),--ISNUMBER(SEARCH(#REF!,P21)))))</f>
        <v>#REF!</v>
      </c>
      <c r="BB21" t="e">
        <f>IF(#REF!="",1,IF(#REF!="(blank)",--(Q21=""),IF(#REF!="(nonblank)",--(Q21&lt;&gt;""),--ISNUMBER(SEARCH(#REF!,Q21)))))</f>
        <v>#REF!</v>
      </c>
      <c r="BC21" t="e">
        <f>IF(#REF!="",1,IF(#REF!="(blank)",--(R21=""),IF(#REF!="(nonblank)",--(R21&lt;&gt;""),--ISNUMBER(SEARCH(#REF!,R21)))))</f>
        <v>#REF!</v>
      </c>
      <c r="BD21" t="e">
        <f>IF(#REF!="",1,IF(#REF!="(blank)",--(S21=""),IF(#REF!="(nonblank)",--(S21&lt;&gt;""),--ISNUMBER(SEARCH(#REF!,S21)))))</f>
        <v>#REF!</v>
      </c>
      <c r="BE21" t="e">
        <f>IF(#REF!="",1,IF(#REF!="(blank)",--(T21=""),IF(#REF!="(nonblank)",--(T21&lt;&gt;""),--ISNUMBER(SEARCH(#REF!,T21)))))</f>
        <v>#REF!</v>
      </c>
      <c r="BF21" t="e">
        <f>IF(#REF!="",1,IF(#REF!="(blank)",--(U21=""),IF(#REF!="(nonblank)",--(U21&lt;&gt;""),--ISNUMBER(SEARCH(#REF!,U21)))))</f>
        <v>#REF!</v>
      </c>
      <c r="BG21" t="e">
        <f>IF(#REF!="",1,IF(#REF!="(blank)",--(V21=""),IF(#REF!="(nonblank)",--(V21&lt;&gt;""),--ISNUMBER(SEARCH(#REF!,V21)))))</f>
        <v>#REF!</v>
      </c>
      <c r="BH21" t="e">
        <f>IF(#REF!="",1,IF(#REF!="(blank)",--(W21=""),IF(#REF!="(nonblank)",--(W21&lt;&gt;""),--ISNUMBER(SEARCH(#REF!,W21)))))</f>
        <v>#REF!</v>
      </c>
      <c r="BI21" t="e">
        <f>IF(#REF!="",1,IF(#REF!="(blank)",--(X21=""),IF(#REF!="(nonblank)",--(X21&lt;&gt;""),--ISNUMBER(SEARCH(#REF!,X21)))))</f>
        <v>#REF!</v>
      </c>
      <c r="BJ21" t="e">
        <f>IF(#REF!="",1,IF(#REF!="(blank)",--(Y21=""),IF(#REF!="(nonblank)",--(Y21&lt;&gt;""),--ISNUMBER(SEARCH(#REF!,Y21)))))</f>
        <v>#REF!</v>
      </c>
      <c r="BK21" t="e">
        <f>IF(#REF!="",1,IF(#REF!="(blank)",--(Z21=""),IF(#REF!="(nonblank)",--(Z21&lt;&gt;""),--ISNUMBER(SEARCH(#REF!,Z21)))))</f>
        <v>#REF!</v>
      </c>
      <c r="BL21" t="e">
        <f>IF(#REF!="",1,IF(#REF!="(blank)",--(AA21=""),IF(#REF!="(nonblank)",--(AA21&lt;&gt;""),--ISNUMBER(SEARCH(#REF!,AA21)))))</f>
        <v>#REF!</v>
      </c>
      <c r="BM21" t="e">
        <f>IF(#REF!="",1,IF(#REF!="(blank)",--(AB21=""),IF(#REF!="(nonblank)",--(AB21&lt;&gt;""),--ISNUMBER(SEARCH(#REF!,AB21)))))</f>
        <v>#REF!</v>
      </c>
      <c r="BN21" t="e">
        <f>IF(#REF!="",1,IF(#REF!="(blank)",--(AC21=""),IF(#REF!="(nonblank)",--(AC21&lt;&gt;""),--ISNUMBER(SEARCH(#REF!,AC21)))))</f>
        <v>#REF!</v>
      </c>
      <c r="BO21" t="e">
        <f>IF(#REF!="",1,IF(#REF!="(blank)",--(AD21=""),IF(#REF!="(nonblank)",--(AD21&lt;&gt;""),--ISNUMBER(SEARCH(#REF!,AD21)))))</f>
        <v>#REF!</v>
      </c>
      <c r="BP21" t="e">
        <f>IF(#REF!="",1,IF(#REF!="(blank)",--(AE21=""),IF(#REF!="(nonblank)",--(AE21&lt;&gt;""),--ISNUMBER(SEARCH(#REF!,AE21)))))</f>
        <v>#REF!</v>
      </c>
      <c r="BQ21" t="e">
        <f>IF(#REF!="",1,IF(#REF!="(blank)",--(AF21=""),IF(#REF!="(nonblank)",--(AF21&lt;&gt;""),--ISNUMBER(SEARCH(#REF!,AF21)))))</f>
        <v>#REF!</v>
      </c>
      <c r="BR21" t="e">
        <f>IF(#REF!="",1,IF(#REF!="(blank)",--(AG21=""),IF(#REF!="(nonblank)",--(AG21&lt;&gt;""),--ISNUMBER(SEARCH(#REF!,AG21)))))</f>
        <v>#REF!</v>
      </c>
      <c r="BS21" t="e">
        <f>IF(#REF!="",1,IF(#REF!="(blank)",--(AH21=""),IF(#REF!="(nonblank)",--(AH21&lt;&gt;""),--ISNUMBER(SEARCH(#REF!,AH21)))))</f>
        <v>#REF!</v>
      </c>
      <c r="BT21">
        <f t="shared" si="16"/>
        <v>1</v>
      </c>
    </row>
    <row r="22" spans="1:72" ht="14.25" customHeight="1" x14ac:dyDescent="0.3">
      <c r="A22" s="31">
        <v>1</v>
      </c>
      <c r="B22" s="32" t="s">
        <v>58</v>
      </c>
      <c r="C22" s="33">
        <v>50003</v>
      </c>
      <c r="D22" s="34">
        <v>21978</v>
      </c>
      <c r="E22" s="34" t="s">
        <v>38</v>
      </c>
      <c r="F22" s="34">
        <v>2027</v>
      </c>
      <c r="G22" s="32" t="s">
        <v>39</v>
      </c>
      <c r="H22" s="35">
        <v>50003</v>
      </c>
      <c r="I22" s="35">
        <f t="shared" si="0"/>
        <v>9001</v>
      </c>
      <c r="J22" s="35">
        <f t="shared" si="1"/>
        <v>59004</v>
      </c>
      <c r="K22" s="35">
        <f t="shared" si="2"/>
        <v>1180</v>
      </c>
      <c r="L22" s="36">
        <f t="shared" si="3"/>
        <v>50.003</v>
      </c>
      <c r="M22" s="36">
        <f t="shared" si="4"/>
        <v>1327.5796499999999</v>
      </c>
      <c r="N22" s="37">
        <f t="shared" si="5"/>
        <v>22.501349999999999</v>
      </c>
      <c r="O22" s="36">
        <f t="shared" si="6"/>
        <v>1305.0782999999999</v>
      </c>
      <c r="P22" s="36">
        <f t="shared" si="7"/>
        <v>1355</v>
      </c>
      <c r="Q22" s="38">
        <v>0</v>
      </c>
      <c r="R22" s="36">
        <f t="shared" si="8"/>
        <v>0</v>
      </c>
      <c r="S22" s="23">
        <f t="shared" ca="1" si="9"/>
        <v>58829</v>
      </c>
      <c r="T22" s="36">
        <f t="shared" si="10"/>
        <v>12501</v>
      </c>
      <c r="U22" s="39">
        <f>+T22</f>
        <v>12501</v>
      </c>
      <c r="V22" s="36" t="s">
        <v>40</v>
      </c>
      <c r="W22" s="36">
        <f t="shared" si="11"/>
        <v>46328</v>
      </c>
      <c r="X22" s="36">
        <v>46328</v>
      </c>
      <c r="Y22" s="36" t="s">
        <v>34</v>
      </c>
      <c r="Z22" s="36">
        <f t="shared" ca="1" si="12"/>
        <v>0</v>
      </c>
      <c r="AA22" s="36"/>
      <c r="AB22" s="36"/>
      <c r="AC22" s="11">
        <f t="shared" si="13"/>
        <v>58829</v>
      </c>
      <c r="AD22" s="15">
        <f t="shared" ca="1" si="14"/>
        <v>0</v>
      </c>
      <c r="AE22" s="16" t="str">
        <f t="shared" ca="1" si="15"/>
        <v>SETTLED</v>
      </c>
      <c r="AF22" s="16" t="s">
        <v>88</v>
      </c>
      <c r="AG22" s="17">
        <v>1800003309</v>
      </c>
      <c r="AH22" s="18" t="s">
        <v>42</v>
      </c>
      <c r="AL22" t="e">
        <f>IF(#REF!="",1,IF(#REF!="(blank)",--(A22=""),IF(#REF!="(nonblank)",--(A22&lt;&gt;""),--ISNUMBER(SEARCH(#REF!,A22)))))</f>
        <v>#REF!</v>
      </c>
      <c r="AM22" t="e">
        <f>IF(#REF!="",1,IF(#REF!="(blank)",--(B22=""),IF(#REF!="(nonblank)",--(B22&lt;&gt;""),--ISNUMBER(SEARCH(#REF!,B22)))))</f>
        <v>#REF!</v>
      </c>
      <c r="AN22" t="e">
        <f>IF(#REF!="",1,IF(#REF!="(blank)",--(C22=""),IF(#REF!="(nonblank)",--(C22&lt;&gt;""),--ISNUMBER(SEARCH(#REF!,C22)))))</f>
        <v>#REF!</v>
      </c>
      <c r="AO22" t="e">
        <f>IF(#REF!="",1,IF(#REF!="(blank)",--(D22=""),IF(#REF!="(nonblank)",--(D22&lt;&gt;""),--ISNUMBER(SEARCH(#REF!,D22)))))</f>
        <v>#REF!</v>
      </c>
      <c r="AP22" t="e">
        <f>IF(#REF!="",1,IF(#REF!="(blank)",--(E22=""),IF(#REF!="(nonblank)",--(E22&lt;&gt;""),--ISNUMBER(SEARCH(#REF!,E22)))))</f>
        <v>#REF!</v>
      </c>
      <c r="AQ22" t="e">
        <f>IF(#REF!="",1,IF(#REF!="(blank)",--(F22=""),IF(#REF!="(nonblank)",--(F22&lt;&gt;""),--ISNUMBER(SEARCH(#REF!,F22)))))</f>
        <v>#REF!</v>
      </c>
      <c r="AR22" t="e">
        <f>IF(#REF!="",1,IF(#REF!="(blank)",--(G22=""),IF(#REF!="(nonblank)",--(G22&lt;&gt;""),--ISNUMBER(SEARCH(#REF!,G22)))))</f>
        <v>#REF!</v>
      </c>
      <c r="AS22" t="e">
        <f>IF(#REF!="",1,IF(#REF!="(blank)",--(H22=""),IF(#REF!="(nonblank)",--(H22&lt;&gt;""),--ISNUMBER(SEARCH(#REF!,H22)))))</f>
        <v>#REF!</v>
      </c>
      <c r="AT22" t="e">
        <f>IF(#REF!="",1,IF(#REF!="(blank)",--(I22=""),IF(#REF!="(nonblank)",--(I22&lt;&gt;""),--ISNUMBER(SEARCH(#REF!,I22)))))</f>
        <v>#REF!</v>
      </c>
      <c r="AU22" t="e">
        <f>IF(#REF!="",1,IF(#REF!="(blank)",--(J22=""),IF(#REF!="(nonblank)",--(J22&lt;&gt;""),--ISNUMBER(SEARCH(#REF!,J22)))))</f>
        <v>#REF!</v>
      </c>
      <c r="AV22" t="e">
        <f>IF(#REF!="",1,IF(#REF!="(blank)",--(K22=""),IF(#REF!="(nonblank)",--(K22&lt;&gt;""),--ISNUMBER(SEARCH(#REF!,K22)))))</f>
        <v>#REF!</v>
      </c>
      <c r="AW22" t="e">
        <f>IF(#REF!="",1,IF(#REF!="(blank)",--(L22=""),IF(#REF!="(nonblank)",--(L22&lt;&gt;""),--ISNUMBER(SEARCH(#REF!,L22)))))</f>
        <v>#REF!</v>
      </c>
      <c r="AX22" t="e">
        <f>IF(#REF!="",1,IF(#REF!="(blank)",--(M22=""),IF(#REF!="(nonblank)",--(M22&lt;&gt;""),--ISNUMBER(SEARCH(#REF!,M22)))))</f>
        <v>#REF!</v>
      </c>
      <c r="AY22" t="e">
        <f>IF(#REF!="",1,IF(#REF!="(blank)",--(N22=""),IF(#REF!="(nonblank)",--(N22&lt;&gt;""),--ISNUMBER(SEARCH(#REF!,N22)))))</f>
        <v>#REF!</v>
      </c>
      <c r="AZ22" t="e">
        <f>IF(#REF!="",1,IF(#REF!="(blank)",--(O22=""),IF(#REF!="(nonblank)",--(O22&lt;&gt;""),--ISNUMBER(SEARCH(#REF!,O22)))))</f>
        <v>#REF!</v>
      </c>
      <c r="BA22" t="e">
        <f>IF(#REF!="",1,IF(#REF!="(blank)",--(P22=""),IF(#REF!="(nonblank)",--(P22&lt;&gt;""),--ISNUMBER(SEARCH(#REF!,P22)))))</f>
        <v>#REF!</v>
      </c>
      <c r="BB22" t="e">
        <f>IF(#REF!="",1,IF(#REF!="(blank)",--(Q22=""),IF(#REF!="(nonblank)",--(Q22&lt;&gt;""),--ISNUMBER(SEARCH(#REF!,Q22)))))</f>
        <v>#REF!</v>
      </c>
      <c r="BC22" t="e">
        <f>IF(#REF!="",1,IF(#REF!="(blank)",--(R22=""),IF(#REF!="(nonblank)",--(R22&lt;&gt;""),--ISNUMBER(SEARCH(#REF!,R22)))))</f>
        <v>#REF!</v>
      </c>
      <c r="BD22" t="e">
        <f>IF(#REF!="",1,IF(#REF!="(blank)",--(S22=""),IF(#REF!="(nonblank)",--(S22&lt;&gt;""),--ISNUMBER(SEARCH(#REF!,S22)))))</f>
        <v>#REF!</v>
      </c>
      <c r="BE22" t="e">
        <f>IF(#REF!="",1,IF(#REF!="(blank)",--(T22=""),IF(#REF!="(nonblank)",--(T22&lt;&gt;""),--ISNUMBER(SEARCH(#REF!,T22)))))</f>
        <v>#REF!</v>
      </c>
      <c r="BF22" t="e">
        <f>IF(#REF!="",1,IF(#REF!="(blank)",--(U22=""),IF(#REF!="(nonblank)",--(U22&lt;&gt;""),--ISNUMBER(SEARCH(#REF!,U22)))))</f>
        <v>#REF!</v>
      </c>
      <c r="BG22" t="e">
        <f>IF(#REF!="",1,IF(#REF!="(blank)",--(V22=""),IF(#REF!="(nonblank)",--(V22&lt;&gt;""),--ISNUMBER(SEARCH(#REF!,V22)))))</f>
        <v>#REF!</v>
      </c>
      <c r="BH22" t="e">
        <f>IF(#REF!="",1,IF(#REF!="(blank)",--(W22=""),IF(#REF!="(nonblank)",--(W22&lt;&gt;""),--ISNUMBER(SEARCH(#REF!,W22)))))</f>
        <v>#REF!</v>
      </c>
      <c r="BI22" t="e">
        <f>IF(#REF!="",1,IF(#REF!="(blank)",--(X22=""),IF(#REF!="(nonblank)",--(X22&lt;&gt;""),--ISNUMBER(SEARCH(#REF!,X22)))))</f>
        <v>#REF!</v>
      </c>
      <c r="BJ22" t="e">
        <f>IF(#REF!="",1,IF(#REF!="(blank)",--(Y22=""),IF(#REF!="(nonblank)",--(Y22&lt;&gt;""),--ISNUMBER(SEARCH(#REF!,Y22)))))</f>
        <v>#REF!</v>
      </c>
      <c r="BK22" t="e">
        <f>IF(#REF!="",1,IF(#REF!="(blank)",--(Z22=""),IF(#REF!="(nonblank)",--(Z22&lt;&gt;""),--ISNUMBER(SEARCH(#REF!,Z22)))))</f>
        <v>#REF!</v>
      </c>
      <c r="BL22" t="e">
        <f>IF(#REF!="",1,IF(#REF!="(blank)",--(AA22=""),IF(#REF!="(nonblank)",--(AA22&lt;&gt;""),--ISNUMBER(SEARCH(#REF!,AA22)))))</f>
        <v>#REF!</v>
      </c>
      <c r="BM22" t="e">
        <f>IF(#REF!="",1,IF(#REF!="(blank)",--(AB22=""),IF(#REF!="(nonblank)",--(AB22&lt;&gt;""),--ISNUMBER(SEARCH(#REF!,AB22)))))</f>
        <v>#REF!</v>
      </c>
      <c r="BN22" t="e">
        <f>IF(#REF!="",1,IF(#REF!="(blank)",--(AC22=""),IF(#REF!="(nonblank)",--(AC22&lt;&gt;""),--ISNUMBER(SEARCH(#REF!,AC22)))))</f>
        <v>#REF!</v>
      </c>
      <c r="BO22" t="e">
        <f>IF(#REF!="",1,IF(#REF!="(blank)",--(AD22=""),IF(#REF!="(nonblank)",--(AD22&lt;&gt;""),--ISNUMBER(SEARCH(#REF!,AD22)))))</f>
        <v>#REF!</v>
      </c>
      <c r="BP22" t="e">
        <f>IF(#REF!="",1,IF(#REF!="(blank)",--(AE22=""),IF(#REF!="(nonblank)",--(AE22&lt;&gt;""),--ISNUMBER(SEARCH(#REF!,AE22)))))</f>
        <v>#REF!</v>
      </c>
      <c r="BQ22" t="e">
        <f>IF(#REF!="",1,IF(#REF!="(blank)",--(AF22=""),IF(#REF!="(nonblank)",--(AF22&lt;&gt;""),--ISNUMBER(SEARCH(#REF!,AF22)))))</f>
        <v>#REF!</v>
      </c>
      <c r="BR22" t="e">
        <f>IF(#REF!="",1,IF(#REF!="(blank)",--(AG22=""),IF(#REF!="(nonblank)",--(AG22&lt;&gt;""),--ISNUMBER(SEARCH(#REF!,AG22)))))</f>
        <v>#REF!</v>
      </c>
      <c r="BS22" t="e">
        <f>IF(#REF!="",1,IF(#REF!="(blank)",--(AH22=""),IF(#REF!="(nonblank)",--(AH22&lt;&gt;""),--ISNUMBER(SEARCH(#REF!,AH22)))))</f>
        <v>#REF!</v>
      </c>
      <c r="BT22">
        <f t="shared" si="16"/>
        <v>1</v>
      </c>
    </row>
    <row r="23" spans="1:72" ht="14.25" customHeight="1" x14ac:dyDescent="0.3">
      <c r="A23" s="19">
        <v>1000</v>
      </c>
      <c r="B23" s="20" t="s">
        <v>89</v>
      </c>
      <c r="C23" s="21">
        <v>517</v>
      </c>
      <c r="D23" s="22">
        <v>21978</v>
      </c>
      <c r="E23" s="22" t="s">
        <v>38</v>
      </c>
      <c r="F23" s="22">
        <v>2033</v>
      </c>
      <c r="G23" s="20" t="s">
        <v>90</v>
      </c>
      <c r="H23" s="23">
        <v>517000</v>
      </c>
      <c r="I23" s="23">
        <f t="shared" si="0"/>
        <v>93060</v>
      </c>
      <c r="J23" s="23">
        <f t="shared" si="1"/>
        <v>610060</v>
      </c>
      <c r="K23" s="23">
        <f t="shared" si="2"/>
        <v>12201</v>
      </c>
      <c r="L23" s="24">
        <f t="shared" si="3"/>
        <v>517</v>
      </c>
      <c r="M23" s="24">
        <f t="shared" si="4"/>
        <v>13726.349999999999</v>
      </c>
      <c r="N23" s="25">
        <f t="shared" si="5"/>
        <v>232.65</v>
      </c>
      <c r="O23" s="24">
        <f t="shared" si="6"/>
        <v>13493.699999999999</v>
      </c>
      <c r="P23" s="24">
        <f t="shared" si="7"/>
        <v>14011</v>
      </c>
      <c r="Q23" s="26">
        <v>0</v>
      </c>
      <c r="R23" s="24">
        <f t="shared" si="8"/>
        <v>0</v>
      </c>
      <c r="S23" s="23">
        <f t="shared" ca="1" si="9"/>
        <v>608251</v>
      </c>
      <c r="T23" s="24">
        <f t="shared" si="10"/>
        <v>129250</v>
      </c>
      <c r="U23" s="27">
        <v>129250</v>
      </c>
      <c r="V23" s="24" t="s">
        <v>52</v>
      </c>
      <c r="W23" s="24">
        <f t="shared" si="11"/>
        <v>479001</v>
      </c>
      <c r="X23" s="24">
        <v>479001</v>
      </c>
      <c r="Y23" s="24" t="s">
        <v>84</v>
      </c>
      <c r="Z23" s="24">
        <f t="shared" ca="1" si="12"/>
        <v>0</v>
      </c>
      <c r="AA23" s="24"/>
      <c r="AB23" s="24"/>
      <c r="AC23" s="28">
        <f t="shared" si="13"/>
        <v>608251</v>
      </c>
      <c r="AD23" s="28">
        <f t="shared" ca="1" si="14"/>
        <v>0</v>
      </c>
      <c r="AE23" s="24" t="str">
        <f t="shared" ca="1" si="15"/>
        <v>SETTLED</v>
      </c>
      <c r="AF23" s="24" t="s">
        <v>91</v>
      </c>
      <c r="AG23" s="29">
        <v>1800003317</v>
      </c>
      <c r="AH23" s="30" t="s">
        <v>42</v>
      </c>
      <c r="AL23" t="e">
        <f>IF(#REF!="",1,IF(#REF!="(blank)",--(A23=""),IF(#REF!="(nonblank)",--(A23&lt;&gt;""),--ISNUMBER(SEARCH(#REF!,A23)))))</f>
        <v>#REF!</v>
      </c>
      <c r="AM23" t="e">
        <f>IF(#REF!="",1,IF(#REF!="(blank)",--(B23=""),IF(#REF!="(nonblank)",--(B23&lt;&gt;""),--ISNUMBER(SEARCH(#REF!,B23)))))</f>
        <v>#REF!</v>
      </c>
      <c r="AN23" t="e">
        <f>IF(#REF!="",1,IF(#REF!="(blank)",--(C23=""),IF(#REF!="(nonblank)",--(C23&lt;&gt;""),--ISNUMBER(SEARCH(#REF!,C23)))))</f>
        <v>#REF!</v>
      </c>
      <c r="AO23" t="e">
        <f>IF(#REF!="",1,IF(#REF!="(blank)",--(D23=""),IF(#REF!="(nonblank)",--(D23&lt;&gt;""),--ISNUMBER(SEARCH(#REF!,D23)))))</f>
        <v>#REF!</v>
      </c>
      <c r="AP23" t="e">
        <f>IF(#REF!="",1,IF(#REF!="(blank)",--(E23=""),IF(#REF!="(nonblank)",--(E23&lt;&gt;""),--ISNUMBER(SEARCH(#REF!,E23)))))</f>
        <v>#REF!</v>
      </c>
      <c r="AQ23" t="e">
        <f>IF(#REF!="",1,IF(#REF!="(blank)",--(F23=""),IF(#REF!="(nonblank)",--(F23&lt;&gt;""),--ISNUMBER(SEARCH(#REF!,F23)))))</f>
        <v>#REF!</v>
      </c>
      <c r="AR23" t="e">
        <f>IF(#REF!="",1,IF(#REF!="(blank)",--(G23=""),IF(#REF!="(nonblank)",--(G23&lt;&gt;""),--ISNUMBER(SEARCH(#REF!,G23)))))</f>
        <v>#REF!</v>
      </c>
      <c r="AS23" t="e">
        <f>IF(#REF!="",1,IF(#REF!="(blank)",--(H23=""),IF(#REF!="(nonblank)",--(H23&lt;&gt;""),--ISNUMBER(SEARCH(#REF!,H23)))))</f>
        <v>#REF!</v>
      </c>
      <c r="AT23" t="e">
        <f>IF(#REF!="",1,IF(#REF!="(blank)",--(I23=""),IF(#REF!="(nonblank)",--(I23&lt;&gt;""),--ISNUMBER(SEARCH(#REF!,I23)))))</f>
        <v>#REF!</v>
      </c>
      <c r="AU23" t="e">
        <f>IF(#REF!="",1,IF(#REF!="(blank)",--(J23=""),IF(#REF!="(nonblank)",--(J23&lt;&gt;""),--ISNUMBER(SEARCH(#REF!,J23)))))</f>
        <v>#REF!</v>
      </c>
      <c r="AV23" t="e">
        <f>IF(#REF!="",1,IF(#REF!="(blank)",--(K23=""),IF(#REF!="(nonblank)",--(K23&lt;&gt;""),--ISNUMBER(SEARCH(#REF!,K23)))))</f>
        <v>#REF!</v>
      </c>
      <c r="AW23" t="e">
        <f>IF(#REF!="",1,IF(#REF!="(blank)",--(L23=""),IF(#REF!="(nonblank)",--(L23&lt;&gt;""),--ISNUMBER(SEARCH(#REF!,L23)))))</f>
        <v>#REF!</v>
      </c>
      <c r="AX23" t="e">
        <f>IF(#REF!="",1,IF(#REF!="(blank)",--(M23=""),IF(#REF!="(nonblank)",--(M23&lt;&gt;""),--ISNUMBER(SEARCH(#REF!,M23)))))</f>
        <v>#REF!</v>
      </c>
      <c r="AY23" t="e">
        <f>IF(#REF!="",1,IF(#REF!="(blank)",--(N23=""),IF(#REF!="(nonblank)",--(N23&lt;&gt;""),--ISNUMBER(SEARCH(#REF!,N23)))))</f>
        <v>#REF!</v>
      </c>
      <c r="AZ23" t="e">
        <f>IF(#REF!="",1,IF(#REF!="(blank)",--(O23=""),IF(#REF!="(nonblank)",--(O23&lt;&gt;""),--ISNUMBER(SEARCH(#REF!,O23)))))</f>
        <v>#REF!</v>
      </c>
      <c r="BA23" t="e">
        <f>IF(#REF!="",1,IF(#REF!="(blank)",--(P23=""),IF(#REF!="(nonblank)",--(P23&lt;&gt;""),--ISNUMBER(SEARCH(#REF!,P23)))))</f>
        <v>#REF!</v>
      </c>
      <c r="BB23" t="e">
        <f>IF(#REF!="",1,IF(#REF!="(blank)",--(Q23=""),IF(#REF!="(nonblank)",--(Q23&lt;&gt;""),--ISNUMBER(SEARCH(#REF!,Q23)))))</f>
        <v>#REF!</v>
      </c>
      <c r="BC23" t="e">
        <f>IF(#REF!="",1,IF(#REF!="(blank)",--(R23=""),IF(#REF!="(nonblank)",--(R23&lt;&gt;""),--ISNUMBER(SEARCH(#REF!,R23)))))</f>
        <v>#REF!</v>
      </c>
      <c r="BD23" t="e">
        <f>IF(#REF!="",1,IF(#REF!="(blank)",--(S23=""),IF(#REF!="(nonblank)",--(S23&lt;&gt;""),--ISNUMBER(SEARCH(#REF!,S23)))))</f>
        <v>#REF!</v>
      </c>
      <c r="BE23" t="e">
        <f>IF(#REF!="",1,IF(#REF!="(blank)",--(T23=""),IF(#REF!="(nonblank)",--(T23&lt;&gt;""),--ISNUMBER(SEARCH(#REF!,T23)))))</f>
        <v>#REF!</v>
      </c>
      <c r="BF23" t="e">
        <f>IF(#REF!="",1,IF(#REF!="(blank)",--(U23=""),IF(#REF!="(nonblank)",--(U23&lt;&gt;""),--ISNUMBER(SEARCH(#REF!,U23)))))</f>
        <v>#REF!</v>
      </c>
      <c r="BG23" t="e">
        <f>IF(#REF!="",1,IF(#REF!="(blank)",--(V23=""),IF(#REF!="(nonblank)",--(V23&lt;&gt;""),--ISNUMBER(SEARCH(#REF!,V23)))))</f>
        <v>#REF!</v>
      </c>
      <c r="BH23" t="e">
        <f>IF(#REF!="",1,IF(#REF!="(blank)",--(W23=""),IF(#REF!="(nonblank)",--(W23&lt;&gt;""),--ISNUMBER(SEARCH(#REF!,W23)))))</f>
        <v>#REF!</v>
      </c>
      <c r="BI23" t="e">
        <f>IF(#REF!="",1,IF(#REF!="(blank)",--(X23=""),IF(#REF!="(nonblank)",--(X23&lt;&gt;""),--ISNUMBER(SEARCH(#REF!,X23)))))</f>
        <v>#REF!</v>
      </c>
      <c r="BJ23" t="e">
        <f>IF(#REF!="",1,IF(#REF!="(blank)",--(Y23=""),IF(#REF!="(nonblank)",--(Y23&lt;&gt;""),--ISNUMBER(SEARCH(#REF!,Y23)))))</f>
        <v>#REF!</v>
      </c>
      <c r="BK23" t="e">
        <f>IF(#REF!="",1,IF(#REF!="(blank)",--(Z23=""),IF(#REF!="(nonblank)",--(Z23&lt;&gt;""),--ISNUMBER(SEARCH(#REF!,Z23)))))</f>
        <v>#REF!</v>
      </c>
      <c r="BL23" t="e">
        <f>IF(#REF!="",1,IF(#REF!="(blank)",--(AA23=""),IF(#REF!="(nonblank)",--(AA23&lt;&gt;""),--ISNUMBER(SEARCH(#REF!,AA23)))))</f>
        <v>#REF!</v>
      </c>
      <c r="BM23" t="e">
        <f>IF(#REF!="",1,IF(#REF!="(blank)",--(AB23=""),IF(#REF!="(nonblank)",--(AB23&lt;&gt;""),--ISNUMBER(SEARCH(#REF!,AB23)))))</f>
        <v>#REF!</v>
      </c>
      <c r="BN23" t="e">
        <f>IF(#REF!="",1,IF(#REF!="(blank)",--(AC23=""),IF(#REF!="(nonblank)",--(AC23&lt;&gt;""),--ISNUMBER(SEARCH(#REF!,AC23)))))</f>
        <v>#REF!</v>
      </c>
      <c r="BO23" t="e">
        <f>IF(#REF!="",1,IF(#REF!="(blank)",--(AD23=""),IF(#REF!="(nonblank)",--(AD23&lt;&gt;""),--ISNUMBER(SEARCH(#REF!,AD23)))))</f>
        <v>#REF!</v>
      </c>
      <c r="BP23" t="e">
        <f>IF(#REF!="",1,IF(#REF!="(blank)",--(AE23=""),IF(#REF!="(nonblank)",--(AE23&lt;&gt;""),--ISNUMBER(SEARCH(#REF!,AE23)))))</f>
        <v>#REF!</v>
      </c>
      <c r="BQ23" t="e">
        <f>IF(#REF!="",1,IF(#REF!="(blank)",--(AF23=""),IF(#REF!="(nonblank)",--(AF23&lt;&gt;""),--ISNUMBER(SEARCH(#REF!,AF23)))))</f>
        <v>#REF!</v>
      </c>
      <c r="BR23" t="e">
        <f>IF(#REF!="",1,IF(#REF!="(blank)",--(AG23=""),IF(#REF!="(nonblank)",--(AG23&lt;&gt;""),--ISNUMBER(SEARCH(#REF!,AG23)))))</f>
        <v>#REF!</v>
      </c>
      <c r="BS23" t="e">
        <f>IF(#REF!="",1,IF(#REF!="(blank)",--(AH23=""),IF(#REF!="(nonblank)",--(AH23&lt;&gt;""),--ISNUMBER(SEARCH(#REF!,AH23)))))</f>
        <v>#REF!</v>
      </c>
      <c r="BT23">
        <f t="shared" si="16"/>
        <v>1</v>
      </c>
    </row>
    <row r="24" spans="1:72" ht="14.25" customHeight="1" x14ac:dyDescent="0.3">
      <c r="A24" s="31">
        <v>2</v>
      </c>
      <c r="B24" s="32" t="s">
        <v>92</v>
      </c>
      <c r="C24" s="33">
        <v>14001</v>
      </c>
      <c r="D24" s="34">
        <v>21978</v>
      </c>
      <c r="E24" s="34" t="s">
        <v>38</v>
      </c>
      <c r="F24" s="34">
        <v>2035</v>
      </c>
      <c r="G24" s="32" t="s">
        <v>39</v>
      </c>
      <c r="H24" s="35">
        <v>28002</v>
      </c>
      <c r="I24" s="35">
        <f t="shared" si="0"/>
        <v>5040</v>
      </c>
      <c r="J24" s="35">
        <f t="shared" si="1"/>
        <v>33042</v>
      </c>
      <c r="K24" s="35">
        <f t="shared" si="2"/>
        <v>661</v>
      </c>
      <c r="L24" s="36">
        <f t="shared" si="3"/>
        <v>28.001999999999999</v>
      </c>
      <c r="M24" s="36">
        <f t="shared" si="4"/>
        <v>743.45309999999995</v>
      </c>
      <c r="N24" s="37">
        <f t="shared" si="5"/>
        <v>12.600899999999999</v>
      </c>
      <c r="O24" s="36">
        <f t="shared" si="6"/>
        <v>730.85219999999993</v>
      </c>
      <c r="P24" s="36">
        <f t="shared" si="7"/>
        <v>759</v>
      </c>
      <c r="Q24" s="38">
        <v>0</v>
      </c>
      <c r="R24" s="36">
        <f t="shared" si="8"/>
        <v>0</v>
      </c>
      <c r="S24" s="23">
        <f t="shared" ca="1" si="9"/>
        <v>32944</v>
      </c>
      <c r="T24" s="36">
        <f t="shared" si="10"/>
        <v>7001</v>
      </c>
      <c r="U24" s="39">
        <f>+T24</f>
        <v>7001</v>
      </c>
      <c r="V24" s="36" t="s">
        <v>40</v>
      </c>
      <c r="W24" s="36">
        <f t="shared" si="11"/>
        <v>25944</v>
      </c>
      <c r="X24" s="36">
        <v>25943</v>
      </c>
      <c r="Y24" s="36" t="s">
        <v>34</v>
      </c>
      <c r="Z24" s="36">
        <f t="shared" ca="1" si="12"/>
        <v>0</v>
      </c>
      <c r="AA24" s="36"/>
      <c r="AB24" s="36"/>
      <c r="AC24" s="11">
        <f t="shared" si="13"/>
        <v>32944</v>
      </c>
      <c r="AD24" s="15">
        <f t="shared" ca="1" si="14"/>
        <v>0</v>
      </c>
      <c r="AE24" s="16" t="str">
        <f t="shared" ca="1" si="15"/>
        <v>SETTLED</v>
      </c>
      <c r="AF24" s="16" t="s">
        <v>93</v>
      </c>
      <c r="AG24" s="17">
        <v>1800003310</v>
      </c>
      <c r="AH24" s="18" t="s">
        <v>42</v>
      </c>
      <c r="AL24" t="e">
        <f>IF(#REF!="",1,IF(#REF!="(blank)",--(A24=""),IF(#REF!="(nonblank)",--(A24&lt;&gt;""),--ISNUMBER(SEARCH(#REF!,A24)))))</f>
        <v>#REF!</v>
      </c>
      <c r="AM24" t="e">
        <f>IF(#REF!="",1,IF(#REF!="(blank)",--(B24=""),IF(#REF!="(nonblank)",--(B24&lt;&gt;""),--ISNUMBER(SEARCH(#REF!,B24)))))</f>
        <v>#REF!</v>
      </c>
      <c r="AN24" t="e">
        <f>IF(#REF!="",1,IF(#REF!="(blank)",--(C24=""),IF(#REF!="(nonblank)",--(C24&lt;&gt;""),--ISNUMBER(SEARCH(#REF!,C24)))))</f>
        <v>#REF!</v>
      </c>
      <c r="AO24" t="e">
        <f>IF(#REF!="",1,IF(#REF!="(blank)",--(D24=""),IF(#REF!="(nonblank)",--(D24&lt;&gt;""),--ISNUMBER(SEARCH(#REF!,D24)))))</f>
        <v>#REF!</v>
      </c>
      <c r="AP24" t="e">
        <f>IF(#REF!="",1,IF(#REF!="(blank)",--(E24=""),IF(#REF!="(nonblank)",--(E24&lt;&gt;""),--ISNUMBER(SEARCH(#REF!,E24)))))</f>
        <v>#REF!</v>
      </c>
      <c r="AQ24" t="e">
        <f>IF(#REF!="",1,IF(#REF!="(blank)",--(F24=""),IF(#REF!="(nonblank)",--(F24&lt;&gt;""),--ISNUMBER(SEARCH(#REF!,F24)))))</f>
        <v>#REF!</v>
      </c>
      <c r="AR24" t="e">
        <f>IF(#REF!="",1,IF(#REF!="(blank)",--(G24=""),IF(#REF!="(nonblank)",--(G24&lt;&gt;""),--ISNUMBER(SEARCH(#REF!,G24)))))</f>
        <v>#REF!</v>
      </c>
      <c r="AS24" t="e">
        <f>IF(#REF!="",1,IF(#REF!="(blank)",--(H24=""),IF(#REF!="(nonblank)",--(H24&lt;&gt;""),--ISNUMBER(SEARCH(#REF!,H24)))))</f>
        <v>#REF!</v>
      </c>
      <c r="AT24" t="e">
        <f>IF(#REF!="",1,IF(#REF!="(blank)",--(I24=""),IF(#REF!="(nonblank)",--(I24&lt;&gt;""),--ISNUMBER(SEARCH(#REF!,I24)))))</f>
        <v>#REF!</v>
      </c>
      <c r="AU24" t="e">
        <f>IF(#REF!="",1,IF(#REF!="(blank)",--(J24=""),IF(#REF!="(nonblank)",--(J24&lt;&gt;""),--ISNUMBER(SEARCH(#REF!,J24)))))</f>
        <v>#REF!</v>
      </c>
      <c r="AV24" t="e">
        <f>IF(#REF!="",1,IF(#REF!="(blank)",--(K24=""),IF(#REF!="(nonblank)",--(K24&lt;&gt;""),--ISNUMBER(SEARCH(#REF!,K24)))))</f>
        <v>#REF!</v>
      </c>
      <c r="AW24" t="e">
        <f>IF(#REF!="",1,IF(#REF!="(blank)",--(L24=""),IF(#REF!="(nonblank)",--(L24&lt;&gt;""),--ISNUMBER(SEARCH(#REF!,L24)))))</f>
        <v>#REF!</v>
      </c>
      <c r="AX24" t="e">
        <f>IF(#REF!="",1,IF(#REF!="(blank)",--(M24=""),IF(#REF!="(nonblank)",--(M24&lt;&gt;""),--ISNUMBER(SEARCH(#REF!,M24)))))</f>
        <v>#REF!</v>
      </c>
      <c r="AY24" t="e">
        <f>IF(#REF!="",1,IF(#REF!="(blank)",--(N24=""),IF(#REF!="(nonblank)",--(N24&lt;&gt;""),--ISNUMBER(SEARCH(#REF!,N24)))))</f>
        <v>#REF!</v>
      </c>
      <c r="AZ24" t="e">
        <f>IF(#REF!="",1,IF(#REF!="(blank)",--(O24=""),IF(#REF!="(nonblank)",--(O24&lt;&gt;""),--ISNUMBER(SEARCH(#REF!,O24)))))</f>
        <v>#REF!</v>
      </c>
      <c r="BA24" t="e">
        <f>IF(#REF!="",1,IF(#REF!="(blank)",--(P24=""),IF(#REF!="(nonblank)",--(P24&lt;&gt;""),--ISNUMBER(SEARCH(#REF!,P24)))))</f>
        <v>#REF!</v>
      </c>
      <c r="BB24" t="e">
        <f>IF(#REF!="",1,IF(#REF!="(blank)",--(Q24=""),IF(#REF!="(nonblank)",--(Q24&lt;&gt;""),--ISNUMBER(SEARCH(#REF!,Q24)))))</f>
        <v>#REF!</v>
      </c>
      <c r="BC24" t="e">
        <f>IF(#REF!="",1,IF(#REF!="(blank)",--(R24=""),IF(#REF!="(nonblank)",--(R24&lt;&gt;""),--ISNUMBER(SEARCH(#REF!,R24)))))</f>
        <v>#REF!</v>
      </c>
      <c r="BD24" t="e">
        <f>IF(#REF!="",1,IF(#REF!="(blank)",--(S24=""),IF(#REF!="(nonblank)",--(S24&lt;&gt;""),--ISNUMBER(SEARCH(#REF!,S24)))))</f>
        <v>#REF!</v>
      </c>
      <c r="BE24" t="e">
        <f>IF(#REF!="",1,IF(#REF!="(blank)",--(T24=""),IF(#REF!="(nonblank)",--(T24&lt;&gt;""),--ISNUMBER(SEARCH(#REF!,T24)))))</f>
        <v>#REF!</v>
      </c>
      <c r="BF24" t="e">
        <f>IF(#REF!="",1,IF(#REF!="(blank)",--(U24=""),IF(#REF!="(nonblank)",--(U24&lt;&gt;""),--ISNUMBER(SEARCH(#REF!,U24)))))</f>
        <v>#REF!</v>
      </c>
      <c r="BG24" t="e">
        <f>IF(#REF!="",1,IF(#REF!="(blank)",--(V24=""),IF(#REF!="(nonblank)",--(V24&lt;&gt;""),--ISNUMBER(SEARCH(#REF!,V24)))))</f>
        <v>#REF!</v>
      </c>
      <c r="BH24" t="e">
        <f>IF(#REF!="",1,IF(#REF!="(blank)",--(W24=""),IF(#REF!="(nonblank)",--(W24&lt;&gt;""),--ISNUMBER(SEARCH(#REF!,W24)))))</f>
        <v>#REF!</v>
      </c>
      <c r="BI24" t="e">
        <f>IF(#REF!="",1,IF(#REF!="(blank)",--(X24=""),IF(#REF!="(nonblank)",--(X24&lt;&gt;""),--ISNUMBER(SEARCH(#REF!,X24)))))</f>
        <v>#REF!</v>
      </c>
      <c r="BJ24" t="e">
        <f>IF(#REF!="",1,IF(#REF!="(blank)",--(Y24=""),IF(#REF!="(nonblank)",--(Y24&lt;&gt;""),--ISNUMBER(SEARCH(#REF!,Y24)))))</f>
        <v>#REF!</v>
      </c>
      <c r="BK24" t="e">
        <f>IF(#REF!="",1,IF(#REF!="(blank)",--(Z24=""),IF(#REF!="(nonblank)",--(Z24&lt;&gt;""),--ISNUMBER(SEARCH(#REF!,Z24)))))</f>
        <v>#REF!</v>
      </c>
      <c r="BL24" t="e">
        <f>IF(#REF!="",1,IF(#REF!="(blank)",--(AA24=""),IF(#REF!="(nonblank)",--(AA24&lt;&gt;""),--ISNUMBER(SEARCH(#REF!,AA24)))))</f>
        <v>#REF!</v>
      </c>
      <c r="BM24" t="e">
        <f>IF(#REF!="",1,IF(#REF!="(blank)",--(AB24=""),IF(#REF!="(nonblank)",--(AB24&lt;&gt;""),--ISNUMBER(SEARCH(#REF!,AB24)))))</f>
        <v>#REF!</v>
      </c>
      <c r="BN24" t="e">
        <f>IF(#REF!="",1,IF(#REF!="(blank)",--(AC24=""),IF(#REF!="(nonblank)",--(AC24&lt;&gt;""),--ISNUMBER(SEARCH(#REF!,AC24)))))</f>
        <v>#REF!</v>
      </c>
      <c r="BO24" t="e">
        <f>IF(#REF!="",1,IF(#REF!="(blank)",--(AD24=""),IF(#REF!="(nonblank)",--(AD24&lt;&gt;""),--ISNUMBER(SEARCH(#REF!,AD24)))))</f>
        <v>#REF!</v>
      </c>
      <c r="BP24" t="e">
        <f>IF(#REF!="",1,IF(#REF!="(blank)",--(AE24=""),IF(#REF!="(nonblank)",--(AE24&lt;&gt;""),--ISNUMBER(SEARCH(#REF!,AE24)))))</f>
        <v>#REF!</v>
      </c>
      <c r="BQ24" t="e">
        <f>IF(#REF!="",1,IF(#REF!="(blank)",--(AF24=""),IF(#REF!="(nonblank)",--(AF24&lt;&gt;""),--ISNUMBER(SEARCH(#REF!,AF24)))))</f>
        <v>#REF!</v>
      </c>
      <c r="BR24" t="e">
        <f>IF(#REF!="",1,IF(#REF!="(blank)",--(AG24=""),IF(#REF!="(nonblank)",--(AG24&lt;&gt;""),--ISNUMBER(SEARCH(#REF!,AG24)))))</f>
        <v>#REF!</v>
      </c>
      <c r="BS24" t="e">
        <f>IF(#REF!="",1,IF(#REF!="(blank)",--(AH24=""),IF(#REF!="(nonblank)",--(AH24&lt;&gt;""),--ISNUMBER(SEARCH(#REF!,AH24)))))</f>
        <v>#REF!</v>
      </c>
      <c r="BT24">
        <f t="shared" si="16"/>
        <v>1</v>
      </c>
    </row>
    <row r="25" spans="1:72" ht="26.25" customHeight="1" x14ac:dyDescent="0.3">
      <c r="A25" s="19">
        <v>8.1999999999999993</v>
      </c>
      <c r="B25" s="20" t="s">
        <v>94</v>
      </c>
      <c r="C25" s="21">
        <v>67000</v>
      </c>
      <c r="D25" s="22">
        <v>21978</v>
      </c>
      <c r="E25" s="22" t="s">
        <v>95</v>
      </c>
      <c r="F25" s="22">
        <v>2036</v>
      </c>
      <c r="G25" s="20" t="s">
        <v>96</v>
      </c>
      <c r="H25" s="23">
        <v>549400</v>
      </c>
      <c r="I25" s="23">
        <f t="shared" si="0"/>
        <v>98892</v>
      </c>
      <c r="J25" s="23">
        <f t="shared" si="1"/>
        <v>648292</v>
      </c>
      <c r="K25" s="23">
        <f t="shared" si="2"/>
        <v>12966</v>
      </c>
      <c r="L25" s="24">
        <f t="shared" si="3"/>
        <v>549.4</v>
      </c>
      <c r="M25" s="24">
        <f t="shared" si="4"/>
        <v>14586.57</v>
      </c>
      <c r="N25" s="25">
        <f t="shared" si="5"/>
        <v>247.23000000000002</v>
      </c>
      <c r="O25" s="24">
        <f t="shared" si="6"/>
        <v>14339.34</v>
      </c>
      <c r="P25" s="24">
        <f t="shared" si="7"/>
        <v>14889</v>
      </c>
      <c r="Q25" s="26">
        <v>0.02</v>
      </c>
      <c r="R25" s="24">
        <f t="shared" si="8"/>
        <v>10988</v>
      </c>
      <c r="S25" s="23">
        <f ca="1">ROUND(H25*117.65%-R25+Z25,0)</f>
        <v>648347</v>
      </c>
      <c r="T25" s="24">
        <f t="shared" si="10"/>
        <v>137350</v>
      </c>
      <c r="U25" s="27">
        <v>137350</v>
      </c>
      <c r="V25" s="24" t="s">
        <v>52</v>
      </c>
      <c r="W25" s="24">
        <f t="shared" si="11"/>
        <v>498031</v>
      </c>
      <c r="X25" s="24">
        <v>509019</v>
      </c>
      <c r="Y25" s="24" t="s">
        <v>123</v>
      </c>
      <c r="Z25" s="24">
        <f t="shared" ca="1" si="12"/>
        <v>12965.84</v>
      </c>
      <c r="AA25" s="24">
        <v>12966</v>
      </c>
      <c r="AB25" s="24" t="s">
        <v>123</v>
      </c>
      <c r="AC25" s="28">
        <f t="shared" si="13"/>
        <v>659335</v>
      </c>
      <c r="AD25" s="28">
        <f t="shared" ca="1" si="14"/>
        <v>-10988</v>
      </c>
      <c r="AE25" s="24" t="str">
        <f t="shared" ca="1" si="15"/>
        <v>SETTLED</v>
      </c>
      <c r="AF25" s="24"/>
      <c r="AG25" s="29"/>
      <c r="AH25" s="30"/>
      <c r="AL25" t="e">
        <f>IF(#REF!="",1,IF(#REF!="(blank)",--(A25=""),IF(#REF!="(nonblank)",--(A25&lt;&gt;""),--ISNUMBER(SEARCH(#REF!,A25)))))</f>
        <v>#REF!</v>
      </c>
      <c r="AM25" t="e">
        <f>IF(#REF!="",1,IF(#REF!="(blank)",--(B25=""),IF(#REF!="(nonblank)",--(B25&lt;&gt;""),--ISNUMBER(SEARCH(#REF!,B25)))))</f>
        <v>#REF!</v>
      </c>
      <c r="AN25" t="e">
        <f>IF(#REF!="",1,IF(#REF!="(blank)",--(C25=""),IF(#REF!="(nonblank)",--(C25&lt;&gt;""),--ISNUMBER(SEARCH(#REF!,C25)))))</f>
        <v>#REF!</v>
      </c>
      <c r="AO25" t="e">
        <f>IF(#REF!="",1,IF(#REF!="(blank)",--(D25=""),IF(#REF!="(nonblank)",--(D25&lt;&gt;""),--ISNUMBER(SEARCH(#REF!,D25)))))</f>
        <v>#REF!</v>
      </c>
      <c r="AP25" t="e">
        <f>IF(#REF!="",1,IF(#REF!="(blank)",--(E25=""),IF(#REF!="(nonblank)",--(E25&lt;&gt;""),--ISNUMBER(SEARCH(#REF!,E25)))))</f>
        <v>#REF!</v>
      </c>
      <c r="AQ25" t="e">
        <f>IF(#REF!="",1,IF(#REF!="(blank)",--(F25=""),IF(#REF!="(nonblank)",--(F25&lt;&gt;""),--ISNUMBER(SEARCH(#REF!,F25)))))</f>
        <v>#REF!</v>
      </c>
      <c r="AR25" t="e">
        <f>IF(#REF!="",1,IF(#REF!="(blank)",--(G25=""),IF(#REF!="(nonblank)",--(G25&lt;&gt;""),--ISNUMBER(SEARCH(#REF!,G25)))))</f>
        <v>#REF!</v>
      </c>
      <c r="AS25" t="e">
        <f>IF(#REF!="",1,IF(#REF!="(blank)",--(H25=""),IF(#REF!="(nonblank)",--(H25&lt;&gt;""),--ISNUMBER(SEARCH(#REF!,H25)))))</f>
        <v>#REF!</v>
      </c>
      <c r="AT25" t="e">
        <f>IF(#REF!="",1,IF(#REF!="(blank)",--(I25=""),IF(#REF!="(nonblank)",--(I25&lt;&gt;""),--ISNUMBER(SEARCH(#REF!,I25)))))</f>
        <v>#REF!</v>
      </c>
      <c r="AU25" t="e">
        <f>IF(#REF!="",1,IF(#REF!="(blank)",--(J25=""),IF(#REF!="(nonblank)",--(J25&lt;&gt;""),--ISNUMBER(SEARCH(#REF!,J25)))))</f>
        <v>#REF!</v>
      </c>
      <c r="AV25" t="e">
        <f>IF(#REF!="",1,IF(#REF!="(blank)",--(K25=""),IF(#REF!="(nonblank)",--(K25&lt;&gt;""),--ISNUMBER(SEARCH(#REF!,K25)))))</f>
        <v>#REF!</v>
      </c>
      <c r="AW25" t="e">
        <f>IF(#REF!="",1,IF(#REF!="(blank)",--(L25=""),IF(#REF!="(nonblank)",--(L25&lt;&gt;""),--ISNUMBER(SEARCH(#REF!,L25)))))</f>
        <v>#REF!</v>
      </c>
      <c r="AX25" t="e">
        <f>IF(#REF!="",1,IF(#REF!="(blank)",--(M25=""),IF(#REF!="(nonblank)",--(M25&lt;&gt;""),--ISNUMBER(SEARCH(#REF!,M25)))))</f>
        <v>#REF!</v>
      </c>
      <c r="AY25" t="e">
        <f>IF(#REF!="",1,IF(#REF!="(blank)",--(N25=""),IF(#REF!="(nonblank)",--(N25&lt;&gt;""),--ISNUMBER(SEARCH(#REF!,N25)))))</f>
        <v>#REF!</v>
      </c>
      <c r="AZ25" t="e">
        <f>IF(#REF!="",1,IF(#REF!="(blank)",--(O25=""),IF(#REF!="(nonblank)",--(O25&lt;&gt;""),--ISNUMBER(SEARCH(#REF!,O25)))))</f>
        <v>#REF!</v>
      </c>
      <c r="BA25" t="e">
        <f>IF(#REF!="",1,IF(#REF!="(blank)",--(P25=""),IF(#REF!="(nonblank)",--(P25&lt;&gt;""),--ISNUMBER(SEARCH(#REF!,P25)))))</f>
        <v>#REF!</v>
      </c>
      <c r="BB25" t="e">
        <f>IF(#REF!="",1,IF(#REF!="(blank)",--(Q25=""),IF(#REF!="(nonblank)",--(Q25&lt;&gt;""),--ISNUMBER(SEARCH(#REF!,Q25)))))</f>
        <v>#REF!</v>
      </c>
      <c r="BC25" t="e">
        <f>IF(#REF!="",1,IF(#REF!="(blank)",--(R25=""),IF(#REF!="(nonblank)",--(R25&lt;&gt;""),--ISNUMBER(SEARCH(#REF!,R25)))))</f>
        <v>#REF!</v>
      </c>
      <c r="BD25" t="e">
        <f>IF(#REF!="",1,IF(#REF!="(blank)",--(S25=""),IF(#REF!="(nonblank)",--(S25&lt;&gt;""),--ISNUMBER(SEARCH(#REF!,S25)))))</f>
        <v>#REF!</v>
      </c>
      <c r="BE25" t="e">
        <f>IF(#REF!="",1,IF(#REF!="(blank)",--(T25=""),IF(#REF!="(nonblank)",--(T25&lt;&gt;""),--ISNUMBER(SEARCH(#REF!,T25)))))</f>
        <v>#REF!</v>
      </c>
      <c r="BF25" t="e">
        <f>IF(#REF!="",1,IF(#REF!="(blank)",--(U25=""),IF(#REF!="(nonblank)",--(U25&lt;&gt;""),--ISNUMBER(SEARCH(#REF!,U25)))))</f>
        <v>#REF!</v>
      </c>
      <c r="BG25" t="e">
        <f>IF(#REF!="",1,IF(#REF!="(blank)",--(V25=""),IF(#REF!="(nonblank)",--(V25&lt;&gt;""),--ISNUMBER(SEARCH(#REF!,V25)))))</f>
        <v>#REF!</v>
      </c>
      <c r="BH25" t="e">
        <f>IF(#REF!="",1,IF(#REF!="(blank)",--(W25=""),IF(#REF!="(nonblank)",--(W25&lt;&gt;""),--ISNUMBER(SEARCH(#REF!,W25)))))</f>
        <v>#REF!</v>
      </c>
      <c r="BI25" t="e">
        <f>IF(#REF!="",1,IF(#REF!="(blank)",--(X25=""),IF(#REF!="(nonblank)",--(X25&lt;&gt;""),--ISNUMBER(SEARCH(#REF!,X25)))))</f>
        <v>#REF!</v>
      </c>
      <c r="BJ25" t="e">
        <f>IF(#REF!="",1,IF(#REF!="(blank)",--(Y25=""),IF(#REF!="(nonblank)",--(Y25&lt;&gt;""),--ISNUMBER(SEARCH(#REF!,Y25)))))</f>
        <v>#REF!</v>
      </c>
      <c r="BK25" t="e">
        <f>IF(#REF!="",1,IF(#REF!="(blank)",--(Z25=""),IF(#REF!="(nonblank)",--(Z25&lt;&gt;""),--ISNUMBER(SEARCH(#REF!,Z25)))))</f>
        <v>#REF!</v>
      </c>
      <c r="BL25" t="e">
        <f>IF(#REF!="",1,IF(#REF!="(blank)",--(AA25=""),IF(#REF!="(nonblank)",--(AA25&lt;&gt;""),--ISNUMBER(SEARCH(#REF!,AA25)))))</f>
        <v>#REF!</v>
      </c>
      <c r="BM25" t="e">
        <f>IF(#REF!="",1,IF(#REF!="(blank)",--(AB25=""),IF(#REF!="(nonblank)",--(AB25&lt;&gt;""),--ISNUMBER(SEARCH(#REF!,AB25)))))</f>
        <v>#REF!</v>
      </c>
      <c r="BN25" t="e">
        <f>IF(#REF!="",1,IF(#REF!="(blank)",--(AC25=""),IF(#REF!="(nonblank)",--(AC25&lt;&gt;""),--ISNUMBER(SEARCH(#REF!,AC25)))))</f>
        <v>#REF!</v>
      </c>
      <c r="BO25" t="e">
        <f>IF(#REF!="",1,IF(#REF!="(blank)",--(AD25=""),IF(#REF!="(nonblank)",--(AD25&lt;&gt;""),--ISNUMBER(SEARCH(#REF!,AD25)))))</f>
        <v>#REF!</v>
      </c>
      <c r="BP25" t="e">
        <f>IF(#REF!="",1,IF(#REF!="(blank)",--(AE25=""),IF(#REF!="(nonblank)",--(AE25&lt;&gt;""),--ISNUMBER(SEARCH(#REF!,AE25)))))</f>
        <v>#REF!</v>
      </c>
      <c r="BQ25" t="e">
        <f>IF(#REF!="",1,IF(#REF!="(blank)",--(AF25=""),IF(#REF!="(nonblank)",--(AF25&lt;&gt;""),--ISNUMBER(SEARCH(#REF!,AF25)))))</f>
        <v>#REF!</v>
      </c>
      <c r="BR25" t="e">
        <f>IF(#REF!="",1,IF(#REF!="(blank)",--(AG25=""),IF(#REF!="(nonblank)",--(AG25&lt;&gt;""),--ISNUMBER(SEARCH(#REF!,AG25)))))</f>
        <v>#REF!</v>
      </c>
      <c r="BS25" t="e">
        <f>IF(#REF!="",1,IF(#REF!="(blank)",--(AH25=""),IF(#REF!="(nonblank)",--(AH25&lt;&gt;""),--ISNUMBER(SEARCH(#REF!,AH25)))))</f>
        <v>#REF!</v>
      </c>
      <c r="BT25">
        <f t="shared" si="16"/>
        <v>1</v>
      </c>
    </row>
    <row r="26" spans="1:72" ht="14.25" customHeight="1" x14ac:dyDescent="0.3">
      <c r="A26" s="31">
        <v>50</v>
      </c>
      <c r="B26" s="32" t="s">
        <v>74</v>
      </c>
      <c r="C26" s="33">
        <v>531</v>
      </c>
      <c r="D26" s="34">
        <v>21978</v>
      </c>
      <c r="E26" s="34" t="s">
        <v>38</v>
      </c>
      <c r="F26" s="34">
        <v>2037</v>
      </c>
      <c r="G26" s="32" t="s">
        <v>90</v>
      </c>
      <c r="H26" s="35">
        <v>26550</v>
      </c>
      <c r="I26" s="35">
        <f t="shared" si="0"/>
        <v>4779</v>
      </c>
      <c r="J26" s="35">
        <f t="shared" si="1"/>
        <v>31329</v>
      </c>
      <c r="K26" s="35">
        <f t="shared" si="2"/>
        <v>627</v>
      </c>
      <c r="L26" s="36">
        <f t="shared" si="3"/>
        <v>26.55</v>
      </c>
      <c r="M26" s="36">
        <f t="shared" si="4"/>
        <v>704.90249999999992</v>
      </c>
      <c r="N26" s="37">
        <f t="shared" si="5"/>
        <v>11.9475</v>
      </c>
      <c r="O26" s="36">
        <f t="shared" si="6"/>
        <v>692.95499999999993</v>
      </c>
      <c r="P26" s="36">
        <f t="shared" si="7"/>
        <v>720</v>
      </c>
      <c r="Q26" s="38">
        <v>0</v>
      </c>
      <c r="R26" s="36">
        <f t="shared" si="8"/>
        <v>0</v>
      </c>
      <c r="S26" s="23">
        <f t="shared" ref="S26:S38" ca="1" si="17">ROUND(H26*117.65%-R26+Z26,0)</f>
        <v>31236</v>
      </c>
      <c r="T26" s="36">
        <f t="shared" si="10"/>
        <v>6638</v>
      </c>
      <c r="U26" s="39">
        <v>6638</v>
      </c>
      <c r="V26" s="36" t="s">
        <v>52</v>
      </c>
      <c r="W26" s="36">
        <f t="shared" si="11"/>
        <v>24599</v>
      </c>
      <c r="X26" s="36">
        <v>24598</v>
      </c>
      <c r="Y26" s="36" t="s">
        <v>84</v>
      </c>
      <c r="Z26" s="36">
        <f t="shared" ca="1" si="12"/>
        <v>0</v>
      </c>
      <c r="AA26" s="36"/>
      <c r="AB26" s="36"/>
      <c r="AC26" s="11">
        <f t="shared" si="13"/>
        <v>31236</v>
      </c>
      <c r="AD26" s="15">
        <f t="shared" ca="1" si="14"/>
        <v>0</v>
      </c>
      <c r="AE26" s="16" t="str">
        <f t="shared" ca="1" si="15"/>
        <v>SETTLED</v>
      </c>
      <c r="AF26" s="16" t="s">
        <v>97</v>
      </c>
      <c r="AG26" s="17">
        <v>1800003318</v>
      </c>
      <c r="AH26" s="18" t="s">
        <v>42</v>
      </c>
      <c r="AL26" t="e">
        <f>IF(#REF!="",1,IF(#REF!="(blank)",--(A26=""),IF(#REF!="(nonblank)",--(A26&lt;&gt;""),--ISNUMBER(SEARCH(#REF!,A26)))))</f>
        <v>#REF!</v>
      </c>
      <c r="AM26" t="e">
        <f>IF(#REF!="",1,IF(#REF!="(blank)",--(B26=""),IF(#REF!="(nonblank)",--(B26&lt;&gt;""),--ISNUMBER(SEARCH(#REF!,B26)))))</f>
        <v>#REF!</v>
      </c>
      <c r="AN26" t="e">
        <f>IF(#REF!="",1,IF(#REF!="(blank)",--(C26=""),IF(#REF!="(nonblank)",--(C26&lt;&gt;""),--ISNUMBER(SEARCH(#REF!,C26)))))</f>
        <v>#REF!</v>
      </c>
      <c r="AO26" t="e">
        <f>IF(#REF!="",1,IF(#REF!="(blank)",--(D26=""),IF(#REF!="(nonblank)",--(D26&lt;&gt;""),--ISNUMBER(SEARCH(#REF!,D26)))))</f>
        <v>#REF!</v>
      </c>
      <c r="AP26" t="e">
        <f>IF(#REF!="",1,IF(#REF!="(blank)",--(E26=""),IF(#REF!="(nonblank)",--(E26&lt;&gt;""),--ISNUMBER(SEARCH(#REF!,E26)))))</f>
        <v>#REF!</v>
      </c>
      <c r="AQ26" t="e">
        <f>IF(#REF!="",1,IF(#REF!="(blank)",--(F26=""),IF(#REF!="(nonblank)",--(F26&lt;&gt;""),--ISNUMBER(SEARCH(#REF!,F26)))))</f>
        <v>#REF!</v>
      </c>
      <c r="AR26" t="e">
        <f>IF(#REF!="",1,IF(#REF!="(blank)",--(G26=""),IF(#REF!="(nonblank)",--(G26&lt;&gt;""),--ISNUMBER(SEARCH(#REF!,G26)))))</f>
        <v>#REF!</v>
      </c>
      <c r="AS26" t="e">
        <f>IF(#REF!="",1,IF(#REF!="(blank)",--(H26=""),IF(#REF!="(nonblank)",--(H26&lt;&gt;""),--ISNUMBER(SEARCH(#REF!,H26)))))</f>
        <v>#REF!</v>
      </c>
      <c r="AT26" t="e">
        <f>IF(#REF!="",1,IF(#REF!="(blank)",--(I26=""),IF(#REF!="(nonblank)",--(I26&lt;&gt;""),--ISNUMBER(SEARCH(#REF!,I26)))))</f>
        <v>#REF!</v>
      </c>
      <c r="AU26" t="e">
        <f>IF(#REF!="",1,IF(#REF!="(blank)",--(J26=""),IF(#REF!="(nonblank)",--(J26&lt;&gt;""),--ISNUMBER(SEARCH(#REF!,J26)))))</f>
        <v>#REF!</v>
      </c>
      <c r="AV26" t="e">
        <f>IF(#REF!="",1,IF(#REF!="(blank)",--(K26=""),IF(#REF!="(nonblank)",--(K26&lt;&gt;""),--ISNUMBER(SEARCH(#REF!,K26)))))</f>
        <v>#REF!</v>
      </c>
      <c r="AW26" t="e">
        <f>IF(#REF!="",1,IF(#REF!="(blank)",--(L26=""),IF(#REF!="(nonblank)",--(L26&lt;&gt;""),--ISNUMBER(SEARCH(#REF!,L26)))))</f>
        <v>#REF!</v>
      </c>
      <c r="AX26" t="e">
        <f>IF(#REF!="",1,IF(#REF!="(blank)",--(M26=""),IF(#REF!="(nonblank)",--(M26&lt;&gt;""),--ISNUMBER(SEARCH(#REF!,M26)))))</f>
        <v>#REF!</v>
      </c>
      <c r="AY26" t="e">
        <f>IF(#REF!="",1,IF(#REF!="(blank)",--(N26=""),IF(#REF!="(nonblank)",--(N26&lt;&gt;""),--ISNUMBER(SEARCH(#REF!,N26)))))</f>
        <v>#REF!</v>
      </c>
      <c r="AZ26" t="e">
        <f>IF(#REF!="",1,IF(#REF!="(blank)",--(O26=""),IF(#REF!="(nonblank)",--(O26&lt;&gt;""),--ISNUMBER(SEARCH(#REF!,O26)))))</f>
        <v>#REF!</v>
      </c>
      <c r="BA26" t="e">
        <f>IF(#REF!="",1,IF(#REF!="(blank)",--(P26=""),IF(#REF!="(nonblank)",--(P26&lt;&gt;""),--ISNUMBER(SEARCH(#REF!,P26)))))</f>
        <v>#REF!</v>
      </c>
      <c r="BB26" t="e">
        <f>IF(#REF!="",1,IF(#REF!="(blank)",--(Q26=""),IF(#REF!="(nonblank)",--(Q26&lt;&gt;""),--ISNUMBER(SEARCH(#REF!,Q26)))))</f>
        <v>#REF!</v>
      </c>
      <c r="BC26" t="e">
        <f>IF(#REF!="",1,IF(#REF!="(blank)",--(R26=""),IF(#REF!="(nonblank)",--(R26&lt;&gt;""),--ISNUMBER(SEARCH(#REF!,R26)))))</f>
        <v>#REF!</v>
      </c>
      <c r="BD26" t="e">
        <f>IF(#REF!="",1,IF(#REF!="(blank)",--(S26=""),IF(#REF!="(nonblank)",--(S26&lt;&gt;""),--ISNUMBER(SEARCH(#REF!,S26)))))</f>
        <v>#REF!</v>
      </c>
      <c r="BE26" t="e">
        <f>IF(#REF!="",1,IF(#REF!="(blank)",--(T26=""),IF(#REF!="(nonblank)",--(T26&lt;&gt;""),--ISNUMBER(SEARCH(#REF!,T26)))))</f>
        <v>#REF!</v>
      </c>
      <c r="BF26" t="e">
        <f>IF(#REF!="",1,IF(#REF!="(blank)",--(U26=""),IF(#REF!="(nonblank)",--(U26&lt;&gt;""),--ISNUMBER(SEARCH(#REF!,U26)))))</f>
        <v>#REF!</v>
      </c>
      <c r="BG26" t="e">
        <f>IF(#REF!="",1,IF(#REF!="(blank)",--(V26=""),IF(#REF!="(nonblank)",--(V26&lt;&gt;""),--ISNUMBER(SEARCH(#REF!,V26)))))</f>
        <v>#REF!</v>
      </c>
      <c r="BH26" t="e">
        <f>IF(#REF!="",1,IF(#REF!="(blank)",--(W26=""),IF(#REF!="(nonblank)",--(W26&lt;&gt;""),--ISNUMBER(SEARCH(#REF!,W26)))))</f>
        <v>#REF!</v>
      </c>
      <c r="BI26" t="e">
        <f>IF(#REF!="",1,IF(#REF!="(blank)",--(X26=""),IF(#REF!="(nonblank)",--(X26&lt;&gt;""),--ISNUMBER(SEARCH(#REF!,X26)))))</f>
        <v>#REF!</v>
      </c>
      <c r="BJ26" t="e">
        <f>IF(#REF!="",1,IF(#REF!="(blank)",--(Y26=""),IF(#REF!="(nonblank)",--(Y26&lt;&gt;""),--ISNUMBER(SEARCH(#REF!,Y26)))))</f>
        <v>#REF!</v>
      </c>
      <c r="BK26" t="e">
        <f>IF(#REF!="",1,IF(#REF!="(blank)",--(Z26=""),IF(#REF!="(nonblank)",--(Z26&lt;&gt;""),--ISNUMBER(SEARCH(#REF!,Z26)))))</f>
        <v>#REF!</v>
      </c>
      <c r="BL26" t="e">
        <f>IF(#REF!="",1,IF(#REF!="(blank)",--(AA26=""),IF(#REF!="(nonblank)",--(AA26&lt;&gt;""),--ISNUMBER(SEARCH(#REF!,AA26)))))</f>
        <v>#REF!</v>
      </c>
      <c r="BM26" t="e">
        <f>IF(#REF!="",1,IF(#REF!="(blank)",--(AB26=""),IF(#REF!="(nonblank)",--(AB26&lt;&gt;""),--ISNUMBER(SEARCH(#REF!,AB26)))))</f>
        <v>#REF!</v>
      </c>
      <c r="BN26" t="e">
        <f>IF(#REF!="",1,IF(#REF!="(blank)",--(AC26=""),IF(#REF!="(nonblank)",--(AC26&lt;&gt;""),--ISNUMBER(SEARCH(#REF!,AC26)))))</f>
        <v>#REF!</v>
      </c>
      <c r="BO26" t="e">
        <f>IF(#REF!="",1,IF(#REF!="(blank)",--(AD26=""),IF(#REF!="(nonblank)",--(AD26&lt;&gt;""),--ISNUMBER(SEARCH(#REF!,AD26)))))</f>
        <v>#REF!</v>
      </c>
      <c r="BP26" t="e">
        <f>IF(#REF!="",1,IF(#REF!="(blank)",--(AE26=""),IF(#REF!="(nonblank)",--(AE26&lt;&gt;""),--ISNUMBER(SEARCH(#REF!,AE26)))))</f>
        <v>#REF!</v>
      </c>
      <c r="BQ26" t="e">
        <f>IF(#REF!="",1,IF(#REF!="(blank)",--(AF26=""),IF(#REF!="(nonblank)",--(AF26&lt;&gt;""),--ISNUMBER(SEARCH(#REF!,AF26)))))</f>
        <v>#REF!</v>
      </c>
      <c r="BR26" t="e">
        <f>IF(#REF!="",1,IF(#REF!="(blank)",--(AG26=""),IF(#REF!="(nonblank)",--(AG26&lt;&gt;""),--ISNUMBER(SEARCH(#REF!,AG26)))))</f>
        <v>#REF!</v>
      </c>
      <c r="BS26" t="e">
        <f>IF(#REF!="",1,IF(#REF!="(blank)",--(AH26=""),IF(#REF!="(nonblank)",--(AH26&lt;&gt;""),--ISNUMBER(SEARCH(#REF!,AH26)))))</f>
        <v>#REF!</v>
      </c>
      <c r="BT26">
        <f t="shared" si="16"/>
        <v>1</v>
      </c>
    </row>
    <row r="27" spans="1:72" ht="14.25" customHeight="1" x14ac:dyDescent="0.3">
      <c r="A27" s="19">
        <v>3</v>
      </c>
      <c r="B27" s="20" t="s">
        <v>98</v>
      </c>
      <c r="C27" s="21">
        <v>90002</v>
      </c>
      <c r="D27" s="22">
        <v>21978</v>
      </c>
      <c r="E27" s="22" t="s">
        <v>38</v>
      </c>
      <c r="F27" s="22">
        <v>2040</v>
      </c>
      <c r="G27" s="20" t="s">
        <v>65</v>
      </c>
      <c r="H27" s="23">
        <v>270006</v>
      </c>
      <c r="I27" s="23">
        <f t="shared" si="0"/>
        <v>48601</v>
      </c>
      <c r="J27" s="23">
        <f t="shared" si="1"/>
        <v>318607</v>
      </c>
      <c r="K27" s="23">
        <f t="shared" si="2"/>
        <v>6372</v>
      </c>
      <c r="L27" s="24">
        <f t="shared" si="3"/>
        <v>270.00600000000003</v>
      </c>
      <c r="M27" s="24">
        <f t="shared" si="4"/>
        <v>7168.6593000000003</v>
      </c>
      <c r="N27" s="25">
        <f t="shared" si="5"/>
        <v>121.5027</v>
      </c>
      <c r="O27" s="24">
        <f t="shared" si="6"/>
        <v>7047.1566000000003</v>
      </c>
      <c r="P27" s="24">
        <f t="shared" si="7"/>
        <v>7317</v>
      </c>
      <c r="Q27" s="26">
        <v>0</v>
      </c>
      <c r="R27" s="24">
        <f t="shared" si="8"/>
        <v>0</v>
      </c>
      <c r="S27" s="23">
        <f t="shared" ca="1" si="17"/>
        <v>327220</v>
      </c>
      <c r="T27" s="24">
        <f t="shared" si="10"/>
        <v>67502</v>
      </c>
      <c r="U27" s="27">
        <v>67502</v>
      </c>
      <c r="V27" s="24" t="s">
        <v>45</v>
      </c>
      <c r="W27" s="24">
        <f t="shared" si="11"/>
        <v>250161</v>
      </c>
      <c r="X27" s="24"/>
      <c r="Y27" s="24">
        <v>0</v>
      </c>
      <c r="Z27" s="24">
        <f t="shared" ca="1" si="12"/>
        <v>9558.2124000000003</v>
      </c>
      <c r="AA27" s="24"/>
      <c r="AB27" s="24"/>
      <c r="AC27" s="28">
        <f t="shared" si="13"/>
        <v>67502</v>
      </c>
      <c r="AD27" s="28">
        <f t="shared" ca="1" si="14"/>
        <v>259718</v>
      </c>
      <c r="AE27" s="24" t="str">
        <f t="shared" ca="1" si="15"/>
        <v>OUTSTANDING</v>
      </c>
      <c r="AF27" s="24"/>
      <c r="AG27" s="29"/>
      <c r="AH27" s="30"/>
      <c r="AL27" t="e">
        <f>IF(#REF!="",1,IF(#REF!="(blank)",--(A27=""),IF(#REF!="(nonblank)",--(A27&lt;&gt;""),--ISNUMBER(SEARCH(#REF!,A27)))))</f>
        <v>#REF!</v>
      </c>
      <c r="AM27" t="e">
        <f>IF(#REF!="",1,IF(#REF!="(blank)",--(B27=""),IF(#REF!="(nonblank)",--(B27&lt;&gt;""),--ISNUMBER(SEARCH(#REF!,B27)))))</f>
        <v>#REF!</v>
      </c>
      <c r="AN27" t="e">
        <f>IF(#REF!="",1,IF(#REF!="(blank)",--(C27=""),IF(#REF!="(nonblank)",--(C27&lt;&gt;""),--ISNUMBER(SEARCH(#REF!,C27)))))</f>
        <v>#REF!</v>
      </c>
      <c r="AO27" t="e">
        <f>IF(#REF!="",1,IF(#REF!="(blank)",--(D27=""),IF(#REF!="(nonblank)",--(D27&lt;&gt;""),--ISNUMBER(SEARCH(#REF!,D27)))))</f>
        <v>#REF!</v>
      </c>
      <c r="AP27" t="e">
        <f>IF(#REF!="",1,IF(#REF!="(blank)",--(E27=""),IF(#REF!="(nonblank)",--(E27&lt;&gt;""),--ISNUMBER(SEARCH(#REF!,E27)))))</f>
        <v>#REF!</v>
      </c>
      <c r="AQ27" t="e">
        <f>IF(#REF!="",1,IF(#REF!="(blank)",--(F27=""),IF(#REF!="(nonblank)",--(F27&lt;&gt;""),--ISNUMBER(SEARCH(#REF!,F27)))))</f>
        <v>#REF!</v>
      </c>
      <c r="AR27" t="e">
        <f>IF(#REF!="",1,IF(#REF!="(blank)",--(G27=""),IF(#REF!="(nonblank)",--(G27&lt;&gt;""),--ISNUMBER(SEARCH(#REF!,G27)))))</f>
        <v>#REF!</v>
      </c>
      <c r="AS27" t="e">
        <f>IF(#REF!="",1,IF(#REF!="(blank)",--(H27=""),IF(#REF!="(nonblank)",--(H27&lt;&gt;""),--ISNUMBER(SEARCH(#REF!,H27)))))</f>
        <v>#REF!</v>
      </c>
      <c r="AT27" t="e">
        <f>IF(#REF!="",1,IF(#REF!="(blank)",--(I27=""),IF(#REF!="(nonblank)",--(I27&lt;&gt;""),--ISNUMBER(SEARCH(#REF!,I27)))))</f>
        <v>#REF!</v>
      </c>
      <c r="AU27" t="e">
        <f>IF(#REF!="",1,IF(#REF!="(blank)",--(J27=""),IF(#REF!="(nonblank)",--(J27&lt;&gt;""),--ISNUMBER(SEARCH(#REF!,J27)))))</f>
        <v>#REF!</v>
      </c>
      <c r="AV27" t="e">
        <f>IF(#REF!="",1,IF(#REF!="(blank)",--(K27=""),IF(#REF!="(nonblank)",--(K27&lt;&gt;""),--ISNUMBER(SEARCH(#REF!,K27)))))</f>
        <v>#REF!</v>
      </c>
      <c r="AW27" t="e">
        <f>IF(#REF!="",1,IF(#REF!="(blank)",--(L27=""),IF(#REF!="(nonblank)",--(L27&lt;&gt;""),--ISNUMBER(SEARCH(#REF!,L27)))))</f>
        <v>#REF!</v>
      </c>
      <c r="AX27" t="e">
        <f>IF(#REF!="",1,IF(#REF!="(blank)",--(M27=""),IF(#REF!="(nonblank)",--(M27&lt;&gt;""),--ISNUMBER(SEARCH(#REF!,M27)))))</f>
        <v>#REF!</v>
      </c>
      <c r="AY27" t="e">
        <f>IF(#REF!="",1,IF(#REF!="(blank)",--(N27=""),IF(#REF!="(nonblank)",--(N27&lt;&gt;""),--ISNUMBER(SEARCH(#REF!,N27)))))</f>
        <v>#REF!</v>
      </c>
      <c r="AZ27" t="e">
        <f>IF(#REF!="",1,IF(#REF!="(blank)",--(O27=""),IF(#REF!="(nonblank)",--(O27&lt;&gt;""),--ISNUMBER(SEARCH(#REF!,O27)))))</f>
        <v>#REF!</v>
      </c>
      <c r="BA27" t="e">
        <f>IF(#REF!="",1,IF(#REF!="(blank)",--(P27=""),IF(#REF!="(nonblank)",--(P27&lt;&gt;""),--ISNUMBER(SEARCH(#REF!,P27)))))</f>
        <v>#REF!</v>
      </c>
      <c r="BB27" t="e">
        <f>IF(#REF!="",1,IF(#REF!="(blank)",--(Q27=""),IF(#REF!="(nonblank)",--(Q27&lt;&gt;""),--ISNUMBER(SEARCH(#REF!,Q27)))))</f>
        <v>#REF!</v>
      </c>
      <c r="BC27" t="e">
        <f>IF(#REF!="",1,IF(#REF!="(blank)",--(R27=""),IF(#REF!="(nonblank)",--(R27&lt;&gt;""),--ISNUMBER(SEARCH(#REF!,R27)))))</f>
        <v>#REF!</v>
      </c>
      <c r="BD27" t="e">
        <f>IF(#REF!="",1,IF(#REF!="(blank)",--(S27=""),IF(#REF!="(nonblank)",--(S27&lt;&gt;""),--ISNUMBER(SEARCH(#REF!,S27)))))</f>
        <v>#REF!</v>
      </c>
      <c r="BE27" t="e">
        <f>IF(#REF!="",1,IF(#REF!="(blank)",--(T27=""),IF(#REF!="(nonblank)",--(T27&lt;&gt;""),--ISNUMBER(SEARCH(#REF!,T27)))))</f>
        <v>#REF!</v>
      </c>
      <c r="BF27" t="e">
        <f>IF(#REF!="",1,IF(#REF!="(blank)",--(U27=""),IF(#REF!="(nonblank)",--(U27&lt;&gt;""),--ISNUMBER(SEARCH(#REF!,U27)))))</f>
        <v>#REF!</v>
      </c>
      <c r="BG27" t="e">
        <f>IF(#REF!="",1,IF(#REF!="(blank)",--(V27=""),IF(#REF!="(nonblank)",--(V27&lt;&gt;""),--ISNUMBER(SEARCH(#REF!,V27)))))</f>
        <v>#REF!</v>
      </c>
      <c r="BH27" t="e">
        <f>IF(#REF!="",1,IF(#REF!="(blank)",--(W27=""),IF(#REF!="(nonblank)",--(W27&lt;&gt;""),--ISNUMBER(SEARCH(#REF!,W27)))))</f>
        <v>#REF!</v>
      </c>
      <c r="BI27" t="e">
        <f>IF(#REF!="",1,IF(#REF!="(blank)",--(X27=""),IF(#REF!="(nonblank)",--(X27&lt;&gt;""),--ISNUMBER(SEARCH(#REF!,X27)))))</f>
        <v>#REF!</v>
      </c>
      <c r="BJ27" t="e">
        <f>IF(#REF!="",1,IF(#REF!="(blank)",--(Y27=""),IF(#REF!="(nonblank)",--(Y27&lt;&gt;""),--ISNUMBER(SEARCH(#REF!,Y27)))))</f>
        <v>#REF!</v>
      </c>
      <c r="BK27" t="e">
        <f>IF(#REF!="",1,IF(#REF!="(blank)",--(Z27=""),IF(#REF!="(nonblank)",--(Z27&lt;&gt;""),--ISNUMBER(SEARCH(#REF!,Z27)))))</f>
        <v>#REF!</v>
      </c>
      <c r="BL27" t="e">
        <f>IF(#REF!="",1,IF(#REF!="(blank)",--(AA27=""),IF(#REF!="(nonblank)",--(AA27&lt;&gt;""),--ISNUMBER(SEARCH(#REF!,AA27)))))</f>
        <v>#REF!</v>
      </c>
      <c r="BM27" t="e">
        <f>IF(#REF!="",1,IF(#REF!="(blank)",--(AB27=""),IF(#REF!="(nonblank)",--(AB27&lt;&gt;""),--ISNUMBER(SEARCH(#REF!,AB27)))))</f>
        <v>#REF!</v>
      </c>
      <c r="BN27" t="e">
        <f>IF(#REF!="",1,IF(#REF!="(blank)",--(AC27=""),IF(#REF!="(nonblank)",--(AC27&lt;&gt;""),--ISNUMBER(SEARCH(#REF!,AC27)))))</f>
        <v>#REF!</v>
      </c>
      <c r="BO27" t="e">
        <f>IF(#REF!="",1,IF(#REF!="(blank)",--(AD27=""),IF(#REF!="(nonblank)",--(AD27&lt;&gt;""),--ISNUMBER(SEARCH(#REF!,AD27)))))</f>
        <v>#REF!</v>
      </c>
      <c r="BP27" t="e">
        <f>IF(#REF!="",1,IF(#REF!="(blank)",--(AE27=""),IF(#REF!="(nonblank)",--(AE27&lt;&gt;""),--ISNUMBER(SEARCH(#REF!,AE27)))))</f>
        <v>#REF!</v>
      </c>
      <c r="BQ27" t="e">
        <f>IF(#REF!="",1,IF(#REF!="(blank)",--(AF27=""),IF(#REF!="(nonblank)",--(AF27&lt;&gt;""),--ISNUMBER(SEARCH(#REF!,AF27)))))</f>
        <v>#REF!</v>
      </c>
      <c r="BR27" t="e">
        <f>IF(#REF!="",1,IF(#REF!="(blank)",--(AG27=""),IF(#REF!="(nonblank)",--(AG27&lt;&gt;""),--ISNUMBER(SEARCH(#REF!,AG27)))))</f>
        <v>#REF!</v>
      </c>
      <c r="BS27" t="e">
        <f>IF(#REF!="",1,IF(#REF!="(blank)",--(AH27=""),IF(#REF!="(nonblank)",--(AH27&lt;&gt;""),--ISNUMBER(SEARCH(#REF!,AH27)))))</f>
        <v>#REF!</v>
      </c>
      <c r="BT27">
        <f t="shared" si="16"/>
        <v>1</v>
      </c>
    </row>
    <row r="28" spans="1:72" ht="14.25" customHeight="1" x14ac:dyDescent="0.3">
      <c r="A28" s="31">
        <v>5</v>
      </c>
      <c r="B28" s="32" t="s">
        <v>58</v>
      </c>
      <c r="C28" s="33">
        <v>80000</v>
      </c>
      <c r="D28" s="34">
        <v>21979</v>
      </c>
      <c r="E28" s="34" t="s">
        <v>38</v>
      </c>
      <c r="F28" s="34">
        <v>2043</v>
      </c>
      <c r="G28" s="32" t="s">
        <v>39</v>
      </c>
      <c r="H28" s="35">
        <v>400000</v>
      </c>
      <c r="I28" s="35">
        <f t="shared" si="0"/>
        <v>72000</v>
      </c>
      <c r="J28" s="35">
        <f t="shared" si="1"/>
        <v>472000</v>
      </c>
      <c r="K28" s="35">
        <f t="shared" si="2"/>
        <v>9440</v>
      </c>
      <c r="L28" s="36">
        <f t="shared" si="3"/>
        <v>400</v>
      </c>
      <c r="M28" s="36">
        <f t="shared" si="4"/>
        <v>10620</v>
      </c>
      <c r="N28" s="37">
        <f t="shared" si="5"/>
        <v>180</v>
      </c>
      <c r="O28" s="36">
        <f t="shared" si="6"/>
        <v>10440</v>
      </c>
      <c r="P28" s="36">
        <f t="shared" si="7"/>
        <v>10840</v>
      </c>
      <c r="Q28" s="38">
        <v>0</v>
      </c>
      <c r="R28" s="36">
        <f t="shared" si="8"/>
        <v>0</v>
      </c>
      <c r="S28" s="23">
        <f t="shared" ca="1" si="17"/>
        <v>470600</v>
      </c>
      <c r="T28" s="36">
        <f t="shared" si="10"/>
        <v>100000</v>
      </c>
      <c r="U28" s="39">
        <f>+T28</f>
        <v>100000</v>
      </c>
      <c r="V28" s="36" t="s">
        <v>40</v>
      </c>
      <c r="W28" s="36">
        <f t="shared" si="11"/>
        <v>370600</v>
      </c>
      <c r="X28" s="36">
        <v>370600</v>
      </c>
      <c r="Y28" s="36" t="s">
        <v>34</v>
      </c>
      <c r="Z28" s="36">
        <f t="shared" ca="1" si="12"/>
        <v>0</v>
      </c>
      <c r="AA28" s="36"/>
      <c r="AB28" s="36"/>
      <c r="AC28" s="11">
        <f t="shared" si="13"/>
        <v>470600</v>
      </c>
      <c r="AD28" s="15">
        <f t="shared" ca="1" si="14"/>
        <v>0</v>
      </c>
      <c r="AE28" s="16" t="str">
        <f t="shared" ca="1" si="15"/>
        <v>SETTLED</v>
      </c>
      <c r="AF28" s="16" t="s">
        <v>99</v>
      </c>
      <c r="AG28" s="17">
        <v>1800003311</v>
      </c>
      <c r="AH28" s="18" t="s">
        <v>42</v>
      </c>
      <c r="AL28" t="e">
        <f>IF(#REF!="",1,IF(#REF!="(blank)",--(A28=""),IF(#REF!="(nonblank)",--(A28&lt;&gt;""),--ISNUMBER(SEARCH(#REF!,A28)))))</f>
        <v>#REF!</v>
      </c>
      <c r="AM28" t="e">
        <f>IF(#REF!="",1,IF(#REF!="(blank)",--(B28=""),IF(#REF!="(nonblank)",--(B28&lt;&gt;""),--ISNUMBER(SEARCH(#REF!,B28)))))</f>
        <v>#REF!</v>
      </c>
      <c r="AN28" t="e">
        <f>IF(#REF!="",1,IF(#REF!="(blank)",--(C28=""),IF(#REF!="(nonblank)",--(C28&lt;&gt;""),--ISNUMBER(SEARCH(#REF!,C28)))))</f>
        <v>#REF!</v>
      </c>
      <c r="AO28" t="e">
        <f>IF(#REF!="",1,IF(#REF!="(blank)",--(D28=""),IF(#REF!="(nonblank)",--(D28&lt;&gt;""),--ISNUMBER(SEARCH(#REF!,D28)))))</f>
        <v>#REF!</v>
      </c>
      <c r="AP28" t="e">
        <f>IF(#REF!="",1,IF(#REF!="(blank)",--(E28=""),IF(#REF!="(nonblank)",--(E28&lt;&gt;""),--ISNUMBER(SEARCH(#REF!,E28)))))</f>
        <v>#REF!</v>
      </c>
      <c r="AQ28" t="e">
        <f>IF(#REF!="",1,IF(#REF!="(blank)",--(F28=""),IF(#REF!="(nonblank)",--(F28&lt;&gt;""),--ISNUMBER(SEARCH(#REF!,F28)))))</f>
        <v>#REF!</v>
      </c>
      <c r="AR28" t="e">
        <f>IF(#REF!="",1,IF(#REF!="(blank)",--(G28=""),IF(#REF!="(nonblank)",--(G28&lt;&gt;""),--ISNUMBER(SEARCH(#REF!,G28)))))</f>
        <v>#REF!</v>
      </c>
      <c r="AS28" t="e">
        <f>IF(#REF!="",1,IF(#REF!="(blank)",--(H28=""),IF(#REF!="(nonblank)",--(H28&lt;&gt;""),--ISNUMBER(SEARCH(#REF!,H28)))))</f>
        <v>#REF!</v>
      </c>
      <c r="AT28" t="e">
        <f>IF(#REF!="",1,IF(#REF!="(blank)",--(I28=""),IF(#REF!="(nonblank)",--(I28&lt;&gt;""),--ISNUMBER(SEARCH(#REF!,I28)))))</f>
        <v>#REF!</v>
      </c>
      <c r="AU28" t="e">
        <f>IF(#REF!="",1,IF(#REF!="(blank)",--(J28=""),IF(#REF!="(nonblank)",--(J28&lt;&gt;""),--ISNUMBER(SEARCH(#REF!,J28)))))</f>
        <v>#REF!</v>
      </c>
      <c r="AV28" t="e">
        <f>IF(#REF!="",1,IF(#REF!="(blank)",--(K28=""),IF(#REF!="(nonblank)",--(K28&lt;&gt;""),--ISNUMBER(SEARCH(#REF!,K28)))))</f>
        <v>#REF!</v>
      </c>
      <c r="AW28" t="e">
        <f>IF(#REF!="",1,IF(#REF!="(blank)",--(L28=""),IF(#REF!="(nonblank)",--(L28&lt;&gt;""),--ISNUMBER(SEARCH(#REF!,L28)))))</f>
        <v>#REF!</v>
      </c>
      <c r="AX28" t="e">
        <f>IF(#REF!="",1,IF(#REF!="(blank)",--(M28=""),IF(#REF!="(nonblank)",--(M28&lt;&gt;""),--ISNUMBER(SEARCH(#REF!,M28)))))</f>
        <v>#REF!</v>
      </c>
      <c r="AY28" t="e">
        <f>IF(#REF!="",1,IF(#REF!="(blank)",--(N28=""),IF(#REF!="(nonblank)",--(N28&lt;&gt;""),--ISNUMBER(SEARCH(#REF!,N28)))))</f>
        <v>#REF!</v>
      </c>
      <c r="AZ28" t="e">
        <f>IF(#REF!="",1,IF(#REF!="(blank)",--(O28=""),IF(#REF!="(nonblank)",--(O28&lt;&gt;""),--ISNUMBER(SEARCH(#REF!,O28)))))</f>
        <v>#REF!</v>
      </c>
      <c r="BA28" t="e">
        <f>IF(#REF!="",1,IF(#REF!="(blank)",--(P28=""),IF(#REF!="(nonblank)",--(P28&lt;&gt;""),--ISNUMBER(SEARCH(#REF!,P28)))))</f>
        <v>#REF!</v>
      </c>
      <c r="BB28" t="e">
        <f>IF(#REF!="",1,IF(#REF!="(blank)",--(Q28=""),IF(#REF!="(nonblank)",--(Q28&lt;&gt;""),--ISNUMBER(SEARCH(#REF!,Q28)))))</f>
        <v>#REF!</v>
      </c>
      <c r="BC28" t="e">
        <f>IF(#REF!="",1,IF(#REF!="(blank)",--(R28=""),IF(#REF!="(nonblank)",--(R28&lt;&gt;""),--ISNUMBER(SEARCH(#REF!,R28)))))</f>
        <v>#REF!</v>
      </c>
      <c r="BD28" t="e">
        <f>IF(#REF!="",1,IF(#REF!="(blank)",--(S28=""),IF(#REF!="(nonblank)",--(S28&lt;&gt;""),--ISNUMBER(SEARCH(#REF!,S28)))))</f>
        <v>#REF!</v>
      </c>
      <c r="BE28" t="e">
        <f>IF(#REF!="",1,IF(#REF!="(blank)",--(T28=""),IF(#REF!="(nonblank)",--(T28&lt;&gt;""),--ISNUMBER(SEARCH(#REF!,T28)))))</f>
        <v>#REF!</v>
      </c>
      <c r="BF28" t="e">
        <f>IF(#REF!="",1,IF(#REF!="(blank)",--(U28=""),IF(#REF!="(nonblank)",--(U28&lt;&gt;""),--ISNUMBER(SEARCH(#REF!,U28)))))</f>
        <v>#REF!</v>
      </c>
      <c r="BG28" t="e">
        <f>IF(#REF!="",1,IF(#REF!="(blank)",--(V28=""),IF(#REF!="(nonblank)",--(V28&lt;&gt;""),--ISNUMBER(SEARCH(#REF!,V28)))))</f>
        <v>#REF!</v>
      </c>
      <c r="BH28" t="e">
        <f>IF(#REF!="",1,IF(#REF!="(blank)",--(W28=""),IF(#REF!="(nonblank)",--(W28&lt;&gt;""),--ISNUMBER(SEARCH(#REF!,W28)))))</f>
        <v>#REF!</v>
      </c>
      <c r="BI28" t="e">
        <f>IF(#REF!="",1,IF(#REF!="(blank)",--(X28=""),IF(#REF!="(nonblank)",--(X28&lt;&gt;""),--ISNUMBER(SEARCH(#REF!,X28)))))</f>
        <v>#REF!</v>
      </c>
      <c r="BJ28" t="e">
        <f>IF(#REF!="",1,IF(#REF!="(blank)",--(Y28=""),IF(#REF!="(nonblank)",--(Y28&lt;&gt;""),--ISNUMBER(SEARCH(#REF!,Y28)))))</f>
        <v>#REF!</v>
      </c>
      <c r="BK28" t="e">
        <f>IF(#REF!="",1,IF(#REF!="(blank)",--(Z28=""),IF(#REF!="(nonblank)",--(Z28&lt;&gt;""),--ISNUMBER(SEARCH(#REF!,Z28)))))</f>
        <v>#REF!</v>
      </c>
      <c r="BL28" t="e">
        <f>IF(#REF!="",1,IF(#REF!="(blank)",--(AA28=""),IF(#REF!="(nonblank)",--(AA28&lt;&gt;""),--ISNUMBER(SEARCH(#REF!,AA28)))))</f>
        <v>#REF!</v>
      </c>
      <c r="BM28" t="e">
        <f>IF(#REF!="",1,IF(#REF!="(blank)",--(AB28=""),IF(#REF!="(nonblank)",--(AB28&lt;&gt;""),--ISNUMBER(SEARCH(#REF!,AB28)))))</f>
        <v>#REF!</v>
      </c>
      <c r="BN28" t="e">
        <f>IF(#REF!="",1,IF(#REF!="(blank)",--(AC28=""),IF(#REF!="(nonblank)",--(AC28&lt;&gt;""),--ISNUMBER(SEARCH(#REF!,AC28)))))</f>
        <v>#REF!</v>
      </c>
      <c r="BO28" t="e">
        <f>IF(#REF!="",1,IF(#REF!="(blank)",--(AD28=""),IF(#REF!="(nonblank)",--(AD28&lt;&gt;""),--ISNUMBER(SEARCH(#REF!,AD28)))))</f>
        <v>#REF!</v>
      </c>
      <c r="BP28" t="e">
        <f>IF(#REF!="",1,IF(#REF!="(blank)",--(AE28=""),IF(#REF!="(nonblank)",--(AE28&lt;&gt;""),--ISNUMBER(SEARCH(#REF!,AE28)))))</f>
        <v>#REF!</v>
      </c>
      <c r="BQ28" t="e">
        <f>IF(#REF!="",1,IF(#REF!="(blank)",--(AF28=""),IF(#REF!="(nonblank)",--(AF28&lt;&gt;""),--ISNUMBER(SEARCH(#REF!,AF28)))))</f>
        <v>#REF!</v>
      </c>
      <c r="BR28" t="e">
        <f>IF(#REF!="",1,IF(#REF!="(blank)",--(AG28=""),IF(#REF!="(nonblank)",--(AG28&lt;&gt;""),--ISNUMBER(SEARCH(#REF!,AG28)))))</f>
        <v>#REF!</v>
      </c>
      <c r="BS28" t="e">
        <f>IF(#REF!="",1,IF(#REF!="(blank)",--(AH28=""),IF(#REF!="(nonblank)",--(AH28&lt;&gt;""),--ISNUMBER(SEARCH(#REF!,AH28)))))</f>
        <v>#REF!</v>
      </c>
      <c r="BT28">
        <f t="shared" si="16"/>
        <v>1</v>
      </c>
    </row>
    <row r="29" spans="1:72" ht="14.25" customHeight="1" x14ac:dyDescent="0.3">
      <c r="A29" s="19">
        <v>670</v>
      </c>
      <c r="B29" s="20" t="s">
        <v>100</v>
      </c>
      <c r="C29" s="21">
        <v>309</v>
      </c>
      <c r="D29" s="22">
        <v>21979</v>
      </c>
      <c r="E29" s="22" t="s">
        <v>32</v>
      </c>
      <c r="F29" s="22">
        <v>2046</v>
      </c>
      <c r="G29" s="20" t="s">
        <v>101</v>
      </c>
      <c r="H29" s="23">
        <v>207030</v>
      </c>
      <c r="I29" s="23">
        <f t="shared" si="0"/>
        <v>37265</v>
      </c>
      <c r="J29" s="23">
        <f t="shared" si="1"/>
        <v>244295</v>
      </c>
      <c r="K29" s="23">
        <f t="shared" si="2"/>
        <v>4886</v>
      </c>
      <c r="L29" s="24">
        <f t="shared" si="3"/>
        <v>207.03</v>
      </c>
      <c r="M29" s="24">
        <f t="shared" si="4"/>
        <v>5496.6464999999998</v>
      </c>
      <c r="N29" s="25">
        <f t="shared" si="5"/>
        <v>93.163499999999999</v>
      </c>
      <c r="O29" s="24">
        <f t="shared" si="6"/>
        <v>5403.4830000000002</v>
      </c>
      <c r="P29" s="24">
        <f t="shared" si="7"/>
        <v>5611</v>
      </c>
      <c r="Q29" s="26">
        <v>0</v>
      </c>
      <c r="R29" s="24">
        <f t="shared" si="8"/>
        <v>0</v>
      </c>
      <c r="S29" s="23">
        <f t="shared" ca="1" si="17"/>
        <v>243571</v>
      </c>
      <c r="T29" s="24">
        <f t="shared" si="10"/>
        <v>51758</v>
      </c>
      <c r="U29" s="27">
        <v>51758</v>
      </c>
      <c r="V29" s="24" t="s">
        <v>45</v>
      </c>
      <c r="W29" s="24">
        <f t="shared" si="11"/>
        <v>191813</v>
      </c>
      <c r="X29" s="24">
        <v>191812</v>
      </c>
      <c r="Y29" s="24" t="s">
        <v>84</v>
      </c>
      <c r="Z29" s="24">
        <f t="shared" ca="1" si="12"/>
        <v>0</v>
      </c>
      <c r="AA29" s="24"/>
      <c r="AB29" s="24"/>
      <c r="AC29" s="28">
        <f t="shared" si="13"/>
        <v>243570</v>
      </c>
      <c r="AD29" s="28">
        <f t="shared" ca="1" si="14"/>
        <v>1</v>
      </c>
      <c r="AE29" s="24" t="str">
        <f t="shared" ca="1" si="15"/>
        <v>SETTLED</v>
      </c>
      <c r="AF29" s="24" t="s">
        <v>102</v>
      </c>
      <c r="AG29" s="29">
        <v>1800003316</v>
      </c>
      <c r="AH29" s="30" t="s">
        <v>42</v>
      </c>
      <c r="AL29" t="e">
        <f>IF(#REF!="",1,IF(#REF!="(blank)",--(A29=""),IF(#REF!="(nonblank)",--(A29&lt;&gt;""),--ISNUMBER(SEARCH(#REF!,A29)))))</f>
        <v>#REF!</v>
      </c>
      <c r="AM29" t="e">
        <f>IF(#REF!="",1,IF(#REF!="(blank)",--(B29=""),IF(#REF!="(nonblank)",--(B29&lt;&gt;""),--ISNUMBER(SEARCH(#REF!,B29)))))</f>
        <v>#REF!</v>
      </c>
      <c r="AN29" t="e">
        <f>IF(#REF!="",1,IF(#REF!="(blank)",--(C29=""),IF(#REF!="(nonblank)",--(C29&lt;&gt;""),--ISNUMBER(SEARCH(#REF!,C29)))))</f>
        <v>#REF!</v>
      </c>
      <c r="AO29" t="e">
        <f>IF(#REF!="",1,IF(#REF!="(blank)",--(D29=""),IF(#REF!="(nonblank)",--(D29&lt;&gt;""),--ISNUMBER(SEARCH(#REF!,D29)))))</f>
        <v>#REF!</v>
      </c>
      <c r="AP29" t="e">
        <f>IF(#REF!="",1,IF(#REF!="(blank)",--(E29=""),IF(#REF!="(nonblank)",--(E29&lt;&gt;""),--ISNUMBER(SEARCH(#REF!,E29)))))</f>
        <v>#REF!</v>
      </c>
      <c r="AQ29" t="e">
        <f>IF(#REF!="",1,IF(#REF!="(blank)",--(F29=""),IF(#REF!="(nonblank)",--(F29&lt;&gt;""),--ISNUMBER(SEARCH(#REF!,F29)))))</f>
        <v>#REF!</v>
      </c>
      <c r="AR29" t="e">
        <f>IF(#REF!="",1,IF(#REF!="(blank)",--(G29=""),IF(#REF!="(nonblank)",--(G29&lt;&gt;""),--ISNUMBER(SEARCH(#REF!,G29)))))</f>
        <v>#REF!</v>
      </c>
      <c r="AS29" t="e">
        <f>IF(#REF!="",1,IF(#REF!="(blank)",--(H29=""),IF(#REF!="(nonblank)",--(H29&lt;&gt;""),--ISNUMBER(SEARCH(#REF!,H29)))))</f>
        <v>#REF!</v>
      </c>
      <c r="AT29" t="e">
        <f>IF(#REF!="",1,IF(#REF!="(blank)",--(I29=""),IF(#REF!="(nonblank)",--(I29&lt;&gt;""),--ISNUMBER(SEARCH(#REF!,I29)))))</f>
        <v>#REF!</v>
      </c>
      <c r="AU29" t="e">
        <f>IF(#REF!="",1,IF(#REF!="(blank)",--(J29=""),IF(#REF!="(nonblank)",--(J29&lt;&gt;""),--ISNUMBER(SEARCH(#REF!,J29)))))</f>
        <v>#REF!</v>
      </c>
      <c r="AV29" t="e">
        <f>IF(#REF!="",1,IF(#REF!="(blank)",--(K29=""),IF(#REF!="(nonblank)",--(K29&lt;&gt;""),--ISNUMBER(SEARCH(#REF!,K29)))))</f>
        <v>#REF!</v>
      </c>
      <c r="AW29" t="e">
        <f>IF(#REF!="",1,IF(#REF!="(blank)",--(L29=""),IF(#REF!="(nonblank)",--(L29&lt;&gt;""),--ISNUMBER(SEARCH(#REF!,L29)))))</f>
        <v>#REF!</v>
      </c>
      <c r="AX29" t="e">
        <f>IF(#REF!="",1,IF(#REF!="(blank)",--(M29=""),IF(#REF!="(nonblank)",--(M29&lt;&gt;""),--ISNUMBER(SEARCH(#REF!,M29)))))</f>
        <v>#REF!</v>
      </c>
      <c r="AY29" t="e">
        <f>IF(#REF!="",1,IF(#REF!="(blank)",--(N29=""),IF(#REF!="(nonblank)",--(N29&lt;&gt;""),--ISNUMBER(SEARCH(#REF!,N29)))))</f>
        <v>#REF!</v>
      </c>
      <c r="AZ29" t="e">
        <f>IF(#REF!="",1,IF(#REF!="(blank)",--(O29=""),IF(#REF!="(nonblank)",--(O29&lt;&gt;""),--ISNUMBER(SEARCH(#REF!,O29)))))</f>
        <v>#REF!</v>
      </c>
      <c r="BA29" t="e">
        <f>IF(#REF!="",1,IF(#REF!="(blank)",--(P29=""),IF(#REF!="(nonblank)",--(P29&lt;&gt;""),--ISNUMBER(SEARCH(#REF!,P29)))))</f>
        <v>#REF!</v>
      </c>
      <c r="BB29" t="e">
        <f>IF(#REF!="",1,IF(#REF!="(blank)",--(Q29=""),IF(#REF!="(nonblank)",--(Q29&lt;&gt;""),--ISNUMBER(SEARCH(#REF!,Q29)))))</f>
        <v>#REF!</v>
      </c>
      <c r="BC29" t="e">
        <f>IF(#REF!="",1,IF(#REF!="(blank)",--(R29=""),IF(#REF!="(nonblank)",--(R29&lt;&gt;""),--ISNUMBER(SEARCH(#REF!,R29)))))</f>
        <v>#REF!</v>
      </c>
      <c r="BD29" t="e">
        <f>IF(#REF!="",1,IF(#REF!="(blank)",--(S29=""),IF(#REF!="(nonblank)",--(S29&lt;&gt;""),--ISNUMBER(SEARCH(#REF!,S29)))))</f>
        <v>#REF!</v>
      </c>
      <c r="BE29" t="e">
        <f>IF(#REF!="",1,IF(#REF!="(blank)",--(T29=""),IF(#REF!="(nonblank)",--(T29&lt;&gt;""),--ISNUMBER(SEARCH(#REF!,T29)))))</f>
        <v>#REF!</v>
      </c>
      <c r="BF29" t="e">
        <f>IF(#REF!="",1,IF(#REF!="(blank)",--(U29=""),IF(#REF!="(nonblank)",--(U29&lt;&gt;""),--ISNUMBER(SEARCH(#REF!,U29)))))</f>
        <v>#REF!</v>
      </c>
      <c r="BG29" t="e">
        <f>IF(#REF!="",1,IF(#REF!="(blank)",--(V29=""),IF(#REF!="(nonblank)",--(V29&lt;&gt;""),--ISNUMBER(SEARCH(#REF!,V29)))))</f>
        <v>#REF!</v>
      </c>
      <c r="BH29" t="e">
        <f>IF(#REF!="",1,IF(#REF!="(blank)",--(W29=""),IF(#REF!="(nonblank)",--(W29&lt;&gt;""),--ISNUMBER(SEARCH(#REF!,W29)))))</f>
        <v>#REF!</v>
      </c>
      <c r="BI29" t="e">
        <f>IF(#REF!="",1,IF(#REF!="(blank)",--(X29=""),IF(#REF!="(nonblank)",--(X29&lt;&gt;""),--ISNUMBER(SEARCH(#REF!,X29)))))</f>
        <v>#REF!</v>
      </c>
      <c r="BJ29" t="e">
        <f>IF(#REF!="",1,IF(#REF!="(blank)",--(Y29=""),IF(#REF!="(nonblank)",--(Y29&lt;&gt;""),--ISNUMBER(SEARCH(#REF!,Y29)))))</f>
        <v>#REF!</v>
      </c>
      <c r="BK29" t="e">
        <f>IF(#REF!="",1,IF(#REF!="(blank)",--(Z29=""),IF(#REF!="(nonblank)",--(Z29&lt;&gt;""),--ISNUMBER(SEARCH(#REF!,Z29)))))</f>
        <v>#REF!</v>
      </c>
      <c r="BL29" t="e">
        <f>IF(#REF!="",1,IF(#REF!="(blank)",--(AA29=""),IF(#REF!="(nonblank)",--(AA29&lt;&gt;""),--ISNUMBER(SEARCH(#REF!,AA29)))))</f>
        <v>#REF!</v>
      </c>
      <c r="BM29" t="e">
        <f>IF(#REF!="",1,IF(#REF!="(blank)",--(AB29=""),IF(#REF!="(nonblank)",--(AB29&lt;&gt;""),--ISNUMBER(SEARCH(#REF!,AB29)))))</f>
        <v>#REF!</v>
      </c>
      <c r="BN29" t="e">
        <f>IF(#REF!="",1,IF(#REF!="(blank)",--(AC29=""),IF(#REF!="(nonblank)",--(AC29&lt;&gt;""),--ISNUMBER(SEARCH(#REF!,AC29)))))</f>
        <v>#REF!</v>
      </c>
      <c r="BO29" t="e">
        <f>IF(#REF!="",1,IF(#REF!="(blank)",--(AD29=""),IF(#REF!="(nonblank)",--(AD29&lt;&gt;""),--ISNUMBER(SEARCH(#REF!,AD29)))))</f>
        <v>#REF!</v>
      </c>
      <c r="BP29" t="e">
        <f>IF(#REF!="",1,IF(#REF!="(blank)",--(AE29=""),IF(#REF!="(nonblank)",--(AE29&lt;&gt;""),--ISNUMBER(SEARCH(#REF!,AE29)))))</f>
        <v>#REF!</v>
      </c>
      <c r="BQ29" t="e">
        <f>IF(#REF!="",1,IF(#REF!="(blank)",--(AF29=""),IF(#REF!="(nonblank)",--(AF29&lt;&gt;""),--ISNUMBER(SEARCH(#REF!,AF29)))))</f>
        <v>#REF!</v>
      </c>
      <c r="BR29" t="e">
        <f>IF(#REF!="",1,IF(#REF!="(blank)",--(AG29=""),IF(#REF!="(nonblank)",--(AG29&lt;&gt;""),--ISNUMBER(SEARCH(#REF!,AG29)))))</f>
        <v>#REF!</v>
      </c>
      <c r="BS29" t="e">
        <f>IF(#REF!="",1,IF(#REF!="(blank)",--(AH29=""),IF(#REF!="(nonblank)",--(AH29&lt;&gt;""),--ISNUMBER(SEARCH(#REF!,AH29)))))</f>
        <v>#REF!</v>
      </c>
      <c r="BT29">
        <f t="shared" si="16"/>
        <v>1</v>
      </c>
    </row>
    <row r="30" spans="1:72" ht="14.25" customHeight="1" x14ac:dyDescent="0.3">
      <c r="A30" s="31">
        <v>2</v>
      </c>
      <c r="B30" s="32" t="s">
        <v>103</v>
      </c>
      <c r="C30" s="33">
        <v>80006</v>
      </c>
      <c r="D30" s="34">
        <v>21979</v>
      </c>
      <c r="E30" s="34" t="s">
        <v>38</v>
      </c>
      <c r="F30" s="34">
        <v>2055</v>
      </c>
      <c r="G30" s="32" t="s">
        <v>39</v>
      </c>
      <c r="H30" s="35">
        <v>160012</v>
      </c>
      <c r="I30" s="35">
        <f t="shared" si="0"/>
        <v>28802</v>
      </c>
      <c r="J30" s="35">
        <f t="shared" si="1"/>
        <v>188814</v>
      </c>
      <c r="K30" s="35">
        <f t="shared" si="2"/>
        <v>3776</v>
      </c>
      <c r="L30" s="36">
        <f t="shared" si="3"/>
        <v>160.012</v>
      </c>
      <c r="M30" s="36">
        <f t="shared" si="4"/>
        <v>4248.3185999999996</v>
      </c>
      <c r="N30" s="37">
        <f t="shared" si="5"/>
        <v>72.005399999999995</v>
      </c>
      <c r="O30" s="36">
        <f t="shared" si="6"/>
        <v>4176.3131999999996</v>
      </c>
      <c r="P30" s="36">
        <f t="shared" si="7"/>
        <v>4336</v>
      </c>
      <c r="Q30" s="38">
        <v>0</v>
      </c>
      <c r="R30" s="36">
        <f t="shared" si="8"/>
        <v>0</v>
      </c>
      <c r="S30" s="23">
        <f t="shared" ca="1" si="17"/>
        <v>188254</v>
      </c>
      <c r="T30" s="36">
        <f t="shared" si="10"/>
        <v>40003</v>
      </c>
      <c r="U30" s="39">
        <f>+T30</f>
        <v>40003</v>
      </c>
      <c r="V30" s="36" t="s">
        <v>40</v>
      </c>
      <c r="W30" s="36">
        <f t="shared" si="11"/>
        <v>148251</v>
      </c>
      <c r="X30" s="36">
        <v>148251</v>
      </c>
      <c r="Y30" s="36" t="s">
        <v>34</v>
      </c>
      <c r="Z30" s="36">
        <f t="shared" ca="1" si="12"/>
        <v>0</v>
      </c>
      <c r="AA30" s="36"/>
      <c r="AB30" s="36"/>
      <c r="AC30" s="11">
        <f t="shared" si="13"/>
        <v>188254</v>
      </c>
      <c r="AD30" s="15">
        <f t="shared" ca="1" si="14"/>
        <v>0</v>
      </c>
      <c r="AE30" s="16" t="str">
        <f t="shared" ca="1" si="15"/>
        <v>SETTLED</v>
      </c>
      <c r="AF30" s="16" t="s">
        <v>104</v>
      </c>
      <c r="AG30" s="17">
        <v>1800003312</v>
      </c>
      <c r="AH30" s="18" t="s">
        <v>42</v>
      </c>
      <c r="AL30" t="e">
        <f>IF(#REF!="",1,IF(#REF!="(blank)",--(A30=""),IF(#REF!="(nonblank)",--(A30&lt;&gt;""),--ISNUMBER(SEARCH(#REF!,A30)))))</f>
        <v>#REF!</v>
      </c>
      <c r="AM30" t="e">
        <f>IF(#REF!="",1,IF(#REF!="(blank)",--(B30=""),IF(#REF!="(nonblank)",--(B30&lt;&gt;""),--ISNUMBER(SEARCH(#REF!,B30)))))</f>
        <v>#REF!</v>
      </c>
      <c r="AN30" t="e">
        <f>IF(#REF!="",1,IF(#REF!="(blank)",--(C30=""),IF(#REF!="(nonblank)",--(C30&lt;&gt;""),--ISNUMBER(SEARCH(#REF!,C30)))))</f>
        <v>#REF!</v>
      </c>
      <c r="AO30" t="e">
        <f>IF(#REF!="",1,IF(#REF!="(blank)",--(D30=""),IF(#REF!="(nonblank)",--(D30&lt;&gt;""),--ISNUMBER(SEARCH(#REF!,D30)))))</f>
        <v>#REF!</v>
      </c>
      <c r="AP30" t="e">
        <f>IF(#REF!="",1,IF(#REF!="(blank)",--(E30=""),IF(#REF!="(nonblank)",--(E30&lt;&gt;""),--ISNUMBER(SEARCH(#REF!,E30)))))</f>
        <v>#REF!</v>
      </c>
      <c r="AQ30" t="e">
        <f>IF(#REF!="",1,IF(#REF!="(blank)",--(F30=""),IF(#REF!="(nonblank)",--(F30&lt;&gt;""),--ISNUMBER(SEARCH(#REF!,F30)))))</f>
        <v>#REF!</v>
      </c>
      <c r="AR30" t="e">
        <f>IF(#REF!="",1,IF(#REF!="(blank)",--(G30=""),IF(#REF!="(nonblank)",--(G30&lt;&gt;""),--ISNUMBER(SEARCH(#REF!,G30)))))</f>
        <v>#REF!</v>
      </c>
      <c r="AS30" t="e">
        <f>IF(#REF!="",1,IF(#REF!="(blank)",--(H30=""),IF(#REF!="(nonblank)",--(H30&lt;&gt;""),--ISNUMBER(SEARCH(#REF!,H30)))))</f>
        <v>#REF!</v>
      </c>
      <c r="AT30" t="e">
        <f>IF(#REF!="",1,IF(#REF!="(blank)",--(I30=""),IF(#REF!="(nonblank)",--(I30&lt;&gt;""),--ISNUMBER(SEARCH(#REF!,I30)))))</f>
        <v>#REF!</v>
      </c>
      <c r="AU30" t="e">
        <f>IF(#REF!="",1,IF(#REF!="(blank)",--(J30=""),IF(#REF!="(nonblank)",--(J30&lt;&gt;""),--ISNUMBER(SEARCH(#REF!,J30)))))</f>
        <v>#REF!</v>
      </c>
      <c r="AV30" t="e">
        <f>IF(#REF!="",1,IF(#REF!="(blank)",--(K30=""),IF(#REF!="(nonblank)",--(K30&lt;&gt;""),--ISNUMBER(SEARCH(#REF!,K30)))))</f>
        <v>#REF!</v>
      </c>
      <c r="AW30" t="e">
        <f>IF(#REF!="",1,IF(#REF!="(blank)",--(L30=""),IF(#REF!="(nonblank)",--(L30&lt;&gt;""),--ISNUMBER(SEARCH(#REF!,L30)))))</f>
        <v>#REF!</v>
      </c>
      <c r="AX30" t="e">
        <f>IF(#REF!="",1,IF(#REF!="(blank)",--(M30=""),IF(#REF!="(nonblank)",--(M30&lt;&gt;""),--ISNUMBER(SEARCH(#REF!,M30)))))</f>
        <v>#REF!</v>
      </c>
      <c r="AY30" t="e">
        <f>IF(#REF!="",1,IF(#REF!="(blank)",--(N30=""),IF(#REF!="(nonblank)",--(N30&lt;&gt;""),--ISNUMBER(SEARCH(#REF!,N30)))))</f>
        <v>#REF!</v>
      </c>
      <c r="AZ30" t="e">
        <f>IF(#REF!="",1,IF(#REF!="(blank)",--(O30=""),IF(#REF!="(nonblank)",--(O30&lt;&gt;""),--ISNUMBER(SEARCH(#REF!,O30)))))</f>
        <v>#REF!</v>
      </c>
      <c r="BA30" t="e">
        <f>IF(#REF!="",1,IF(#REF!="(blank)",--(P30=""),IF(#REF!="(nonblank)",--(P30&lt;&gt;""),--ISNUMBER(SEARCH(#REF!,P30)))))</f>
        <v>#REF!</v>
      </c>
      <c r="BB30" t="e">
        <f>IF(#REF!="",1,IF(#REF!="(blank)",--(Q30=""),IF(#REF!="(nonblank)",--(Q30&lt;&gt;""),--ISNUMBER(SEARCH(#REF!,Q30)))))</f>
        <v>#REF!</v>
      </c>
      <c r="BC30" t="e">
        <f>IF(#REF!="",1,IF(#REF!="(blank)",--(R30=""),IF(#REF!="(nonblank)",--(R30&lt;&gt;""),--ISNUMBER(SEARCH(#REF!,R30)))))</f>
        <v>#REF!</v>
      </c>
      <c r="BD30" t="e">
        <f>IF(#REF!="",1,IF(#REF!="(blank)",--(S30=""),IF(#REF!="(nonblank)",--(S30&lt;&gt;""),--ISNUMBER(SEARCH(#REF!,S30)))))</f>
        <v>#REF!</v>
      </c>
      <c r="BE30" t="e">
        <f>IF(#REF!="",1,IF(#REF!="(blank)",--(T30=""),IF(#REF!="(nonblank)",--(T30&lt;&gt;""),--ISNUMBER(SEARCH(#REF!,T30)))))</f>
        <v>#REF!</v>
      </c>
      <c r="BF30" t="e">
        <f>IF(#REF!="",1,IF(#REF!="(blank)",--(U30=""),IF(#REF!="(nonblank)",--(U30&lt;&gt;""),--ISNUMBER(SEARCH(#REF!,U30)))))</f>
        <v>#REF!</v>
      </c>
      <c r="BG30" t="e">
        <f>IF(#REF!="",1,IF(#REF!="(blank)",--(V30=""),IF(#REF!="(nonblank)",--(V30&lt;&gt;""),--ISNUMBER(SEARCH(#REF!,V30)))))</f>
        <v>#REF!</v>
      </c>
      <c r="BH30" t="e">
        <f>IF(#REF!="",1,IF(#REF!="(blank)",--(W30=""),IF(#REF!="(nonblank)",--(W30&lt;&gt;""),--ISNUMBER(SEARCH(#REF!,W30)))))</f>
        <v>#REF!</v>
      </c>
      <c r="BI30" t="e">
        <f>IF(#REF!="",1,IF(#REF!="(blank)",--(X30=""),IF(#REF!="(nonblank)",--(X30&lt;&gt;""),--ISNUMBER(SEARCH(#REF!,X30)))))</f>
        <v>#REF!</v>
      </c>
      <c r="BJ30" t="e">
        <f>IF(#REF!="",1,IF(#REF!="(blank)",--(Y30=""),IF(#REF!="(nonblank)",--(Y30&lt;&gt;""),--ISNUMBER(SEARCH(#REF!,Y30)))))</f>
        <v>#REF!</v>
      </c>
      <c r="BK30" t="e">
        <f>IF(#REF!="",1,IF(#REF!="(blank)",--(Z30=""),IF(#REF!="(nonblank)",--(Z30&lt;&gt;""),--ISNUMBER(SEARCH(#REF!,Z30)))))</f>
        <v>#REF!</v>
      </c>
      <c r="BL30" t="e">
        <f>IF(#REF!="",1,IF(#REF!="(blank)",--(AA30=""),IF(#REF!="(nonblank)",--(AA30&lt;&gt;""),--ISNUMBER(SEARCH(#REF!,AA30)))))</f>
        <v>#REF!</v>
      </c>
      <c r="BM30" t="e">
        <f>IF(#REF!="",1,IF(#REF!="(blank)",--(AB30=""),IF(#REF!="(nonblank)",--(AB30&lt;&gt;""),--ISNUMBER(SEARCH(#REF!,AB30)))))</f>
        <v>#REF!</v>
      </c>
      <c r="BN30" t="e">
        <f>IF(#REF!="",1,IF(#REF!="(blank)",--(AC30=""),IF(#REF!="(nonblank)",--(AC30&lt;&gt;""),--ISNUMBER(SEARCH(#REF!,AC30)))))</f>
        <v>#REF!</v>
      </c>
      <c r="BO30" t="e">
        <f>IF(#REF!="",1,IF(#REF!="(blank)",--(AD30=""),IF(#REF!="(nonblank)",--(AD30&lt;&gt;""),--ISNUMBER(SEARCH(#REF!,AD30)))))</f>
        <v>#REF!</v>
      </c>
      <c r="BP30" t="e">
        <f>IF(#REF!="",1,IF(#REF!="(blank)",--(AE30=""),IF(#REF!="(nonblank)",--(AE30&lt;&gt;""),--ISNUMBER(SEARCH(#REF!,AE30)))))</f>
        <v>#REF!</v>
      </c>
      <c r="BQ30" t="e">
        <f>IF(#REF!="",1,IF(#REF!="(blank)",--(AF30=""),IF(#REF!="(nonblank)",--(AF30&lt;&gt;""),--ISNUMBER(SEARCH(#REF!,AF30)))))</f>
        <v>#REF!</v>
      </c>
      <c r="BR30" t="e">
        <f>IF(#REF!="",1,IF(#REF!="(blank)",--(AG30=""),IF(#REF!="(nonblank)",--(AG30&lt;&gt;""),--ISNUMBER(SEARCH(#REF!,AG30)))))</f>
        <v>#REF!</v>
      </c>
      <c r="BS30" t="e">
        <f>IF(#REF!="",1,IF(#REF!="(blank)",--(AH30=""),IF(#REF!="(nonblank)",--(AH30&lt;&gt;""),--ISNUMBER(SEARCH(#REF!,AH30)))))</f>
        <v>#REF!</v>
      </c>
      <c r="BT30">
        <f t="shared" si="16"/>
        <v>1</v>
      </c>
    </row>
    <row r="31" spans="1:72" ht="14.25" customHeight="1" x14ac:dyDescent="0.3">
      <c r="A31" s="19">
        <v>1</v>
      </c>
      <c r="B31" s="20" t="s">
        <v>105</v>
      </c>
      <c r="C31" s="21">
        <v>29502</v>
      </c>
      <c r="D31" s="22">
        <v>21979</v>
      </c>
      <c r="E31" s="22" t="s">
        <v>38</v>
      </c>
      <c r="F31" s="22">
        <v>2059</v>
      </c>
      <c r="G31" s="20" t="s">
        <v>39</v>
      </c>
      <c r="H31" s="23">
        <v>29502</v>
      </c>
      <c r="I31" s="23">
        <f t="shared" si="0"/>
        <v>5310</v>
      </c>
      <c r="J31" s="23">
        <f t="shared" si="1"/>
        <v>34812</v>
      </c>
      <c r="K31" s="23">
        <f t="shared" si="2"/>
        <v>696</v>
      </c>
      <c r="L31" s="24">
        <f t="shared" si="3"/>
        <v>29.501999999999999</v>
      </c>
      <c r="M31" s="24">
        <f t="shared" si="4"/>
        <v>783.27809999999988</v>
      </c>
      <c r="N31" s="25">
        <f t="shared" si="5"/>
        <v>13.2759</v>
      </c>
      <c r="O31" s="24">
        <f t="shared" si="6"/>
        <v>770.0021999999999</v>
      </c>
      <c r="P31" s="24">
        <f t="shared" si="7"/>
        <v>800</v>
      </c>
      <c r="Q31" s="26">
        <v>0</v>
      </c>
      <c r="R31" s="24">
        <f t="shared" si="8"/>
        <v>0</v>
      </c>
      <c r="S31" s="23">
        <f t="shared" ca="1" si="17"/>
        <v>34709</v>
      </c>
      <c r="T31" s="24">
        <f t="shared" si="10"/>
        <v>7376</v>
      </c>
      <c r="U31" s="27">
        <f>+T31</f>
        <v>7376</v>
      </c>
      <c r="V31" s="24" t="s">
        <v>40</v>
      </c>
      <c r="W31" s="24">
        <f t="shared" si="11"/>
        <v>27334</v>
      </c>
      <c r="X31" s="24">
        <v>27332</v>
      </c>
      <c r="Y31" s="24" t="s">
        <v>34</v>
      </c>
      <c r="Z31" s="24">
        <f t="shared" ca="1" si="12"/>
        <v>0</v>
      </c>
      <c r="AA31" s="24"/>
      <c r="AB31" s="24"/>
      <c r="AC31" s="28">
        <f t="shared" si="13"/>
        <v>34708</v>
      </c>
      <c r="AD31" s="28">
        <f t="shared" ca="1" si="14"/>
        <v>1</v>
      </c>
      <c r="AE31" s="24" t="str">
        <f t="shared" ca="1" si="15"/>
        <v>SETTLED</v>
      </c>
      <c r="AF31" s="24" t="s">
        <v>106</v>
      </c>
      <c r="AG31" s="29">
        <v>1800003313</v>
      </c>
      <c r="AH31" s="30" t="s">
        <v>42</v>
      </c>
      <c r="AL31" t="e">
        <f>IF(#REF!="",1,IF(#REF!="(blank)",--(A31=""),IF(#REF!="(nonblank)",--(A31&lt;&gt;""),--ISNUMBER(SEARCH(#REF!,A31)))))</f>
        <v>#REF!</v>
      </c>
      <c r="AM31" t="e">
        <f>IF(#REF!="",1,IF(#REF!="(blank)",--(B31=""),IF(#REF!="(nonblank)",--(B31&lt;&gt;""),--ISNUMBER(SEARCH(#REF!,B31)))))</f>
        <v>#REF!</v>
      </c>
      <c r="AN31" t="e">
        <f>IF(#REF!="",1,IF(#REF!="(blank)",--(C31=""),IF(#REF!="(nonblank)",--(C31&lt;&gt;""),--ISNUMBER(SEARCH(#REF!,C31)))))</f>
        <v>#REF!</v>
      </c>
      <c r="AO31" t="e">
        <f>IF(#REF!="",1,IF(#REF!="(blank)",--(D31=""),IF(#REF!="(nonblank)",--(D31&lt;&gt;""),--ISNUMBER(SEARCH(#REF!,D31)))))</f>
        <v>#REF!</v>
      </c>
      <c r="AP31" t="e">
        <f>IF(#REF!="",1,IF(#REF!="(blank)",--(E31=""),IF(#REF!="(nonblank)",--(E31&lt;&gt;""),--ISNUMBER(SEARCH(#REF!,E31)))))</f>
        <v>#REF!</v>
      </c>
      <c r="AQ31" t="e">
        <f>IF(#REF!="",1,IF(#REF!="(blank)",--(F31=""),IF(#REF!="(nonblank)",--(F31&lt;&gt;""),--ISNUMBER(SEARCH(#REF!,F31)))))</f>
        <v>#REF!</v>
      </c>
      <c r="AR31" t="e">
        <f>IF(#REF!="",1,IF(#REF!="(blank)",--(G31=""),IF(#REF!="(nonblank)",--(G31&lt;&gt;""),--ISNUMBER(SEARCH(#REF!,G31)))))</f>
        <v>#REF!</v>
      </c>
      <c r="AS31" t="e">
        <f>IF(#REF!="",1,IF(#REF!="(blank)",--(H31=""),IF(#REF!="(nonblank)",--(H31&lt;&gt;""),--ISNUMBER(SEARCH(#REF!,H31)))))</f>
        <v>#REF!</v>
      </c>
      <c r="AT31" t="e">
        <f>IF(#REF!="",1,IF(#REF!="(blank)",--(I31=""),IF(#REF!="(nonblank)",--(I31&lt;&gt;""),--ISNUMBER(SEARCH(#REF!,I31)))))</f>
        <v>#REF!</v>
      </c>
      <c r="AU31" t="e">
        <f>IF(#REF!="",1,IF(#REF!="(blank)",--(J31=""),IF(#REF!="(nonblank)",--(J31&lt;&gt;""),--ISNUMBER(SEARCH(#REF!,J31)))))</f>
        <v>#REF!</v>
      </c>
      <c r="AV31" t="e">
        <f>IF(#REF!="",1,IF(#REF!="(blank)",--(K31=""),IF(#REF!="(nonblank)",--(K31&lt;&gt;""),--ISNUMBER(SEARCH(#REF!,K31)))))</f>
        <v>#REF!</v>
      </c>
      <c r="AW31" t="e">
        <f>IF(#REF!="",1,IF(#REF!="(blank)",--(L31=""),IF(#REF!="(nonblank)",--(L31&lt;&gt;""),--ISNUMBER(SEARCH(#REF!,L31)))))</f>
        <v>#REF!</v>
      </c>
      <c r="AX31" t="e">
        <f>IF(#REF!="",1,IF(#REF!="(blank)",--(M31=""),IF(#REF!="(nonblank)",--(M31&lt;&gt;""),--ISNUMBER(SEARCH(#REF!,M31)))))</f>
        <v>#REF!</v>
      </c>
      <c r="AY31" t="e">
        <f>IF(#REF!="",1,IF(#REF!="(blank)",--(N31=""),IF(#REF!="(nonblank)",--(N31&lt;&gt;""),--ISNUMBER(SEARCH(#REF!,N31)))))</f>
        <v>#REF!</v>
      </c>
      <c r="AZ31" t="e">
        <f>IF(#REF!="",1,IF(#REF!="(blank)",--(O31=""),IF(#REF!="(nonblank)",--(O31&lt;&gt;""),--ISNUMBER(SEARCH(#REF!,O31)))))</f>
        <v>#REF!</v>
      </c>
      <c r="BA31" t="e">
        <f>IF(#REF!="",1,IF(#REF!="(blank)",--(P31=""),IF(#REF!="(nonblank)",--(P31&lt;&gt;""),--ISNUMBER(SEARCH(#REF!,P31)))))</f>
        <v>#REF!</v>
      </c>
      <c r="BB31" t="e">
        <f>IF(#REF!="",1,IF(#REF!="(blank)",--(Q31=""),IF(#REF!="(nonblank)",--(Q31&lt;&gt;""),--ISNUMBER(SEARCH(#REF!,Q31)))))</f>
        <v>#REF!</v>
      </c>
      <c r="BC31" t="e">
        <f>IF(#REF!="",1,IF(#REF!="(blank)",--(R31=""),IF(#REF!="(nonblank)",--(R31&lt;&gt;""),--ISNUMBER(SEARCH(#REF!,R31)))))</f>
        <v>#REF!</v>
      </c>
      <c r="BD31" t="e">
        <f>IF(#REF!="",1,IF(#REF!="(blank)",--(S31=""),IF(#REF!="(nonblank)",--(S31&lt;&gt;""),--ISNUMBER(SEARCH(#REF!,S31)))))</f>
        <v>#REF!</v>
      </c>
      <c r="BE31" t="e">
        <f>IF(#REF!="",1,IF(#REF!="(blank)",--(T31=""),IF(#REF!="(nonblank)",--(T31&lt;&gt;""),--ISNUMBER(SEARCH(#REF!,T31)))))</f>
        <v>#REF!</v>
      </c>
      <c r="BF31" t="e">
        <f>IF(#REF!="",1,IF(#REF!="(blank)",--(U31=""),IF(#REF!="(nonblank)",--(U31&lt;&gt;""),--ISNUMBER(SEARCH(#REF!,U31)))))</f>
        <v>#REF!</v>
      </c>
      <c r="BG31" t="e">
        <f>IF(#REF!="",1,IF(#REF!="(blank)",--(V31=""),IF(#REF!="(nonblank)",--(V31&lt;&gt;""),--ISNUMBER(SEARCH(#REF!,V31)))))</f>
        <v>#REF!</v>
      </c>
      <c r="BH31" t="e">
        <f>IF(#REF!="",1,IF(#REF!="(blank)",--(W31=""),IF(#REF!="(nonblank)",--(W31&lt;&gt;""),--ISNUMBER(SEARCH(#REF!,W31)))))</f>
        <v>#REF!</v>
      </c>
      <c r="BI31" t="e">
        <f>IF(#REF!="",1,IF(#REF!="(blank)",--(X31=""),IF(#REF!="(nonblank)",--(X31&lt;&gt;""),--ISNUMBER(SEARCH(#REF!,X31)))))</f>
        <v>#REF!</v>
      </c>
      <c r="BJ31" t="e">
        <f>IF(#REF!="",1,IF(#REF!="(blank)",--(Y31=""),IF(#REF!="(nonblank)",--(Y31&lt;&gt;""),--ISNUMBER(SEARCH(#REF!,Y31)))))</f>
        <v>#REF!</v>
      </c>
      <c r="BK31" t="e">
        <f>IF(#REF!="",1,IF(#REF!="(blank)",--(Z31=""),IF(#REF!="(nonblank)",--(Z31&lt;&gt;""),--ISNUMBER(SEARCH(#REF!,Z31)))))</f>
        <v>#REF!</v>
      </c>
      <c r="BL31" t="e">
        <f>IF(#REF!="",1,IF(#REF!="(blank)",--(AA31=""),IF(#REF!="(nonblank)",--(AA31&lt;&gt;""),--ISNUMBER(SEARCH(#REF!,AA31)))))</f>
        <v>#REF!</v>
      </c>
      <c r="BM31" t="e">
        <f>IF(#REF!="",1,IF(#REF!="(blank)",--(AB31=""),IF(#REF!="(nonblank)",--(AB31&lt;&gt;""),--ISNUMBER(SEARCH(#REF!,AB31)))))</f>
        <v>#REF!</v>
      </c>
      <c r="BN31" t="e">
        <f>IF(#REF!="",1,IF(#REF!="(blank)",--(AC31=""),IF(#REF!="(nonblank)",--(AC31&lt;&gt;""),--ISNUMBER(SEARCH(#REF!,AC31)))))</f>
        <v>#REF!</v>
      </c>
      <c r="BO31" t="e">
        <f>IF(#REF!="",1,IF(#REF!="(blank)",--(AD31=""),IF(#REF!="(nonblank)",--(AD31&lt;&gt;""),--ISNUMBER(SEARCH(#REF!,AD31)))))</f>
        <v>#REF!</v>
      </c>
      <c r="BP31" t="e">
        <f>IF(#REF!="",1,IF(#REF!="(blank)",--(AE31=""),IF(#REF!="(nonblank)",--(AE31&lt;&gt;""),--ISNUMBER(SEARCH(#REF!,AE31)))))</f>
        <v>#REF!</v>
      </c>
      <c r="BQ31" t="e">
        <f>IF(#REF!="",1,IF(#REF!="(blank)",--(AF31=""),IF(#REF!="(nonblank)",--(AF31&lt;&gt;""),--ISNUMBER(SEARCH(#REF!,AF31)))))</f>
        <v>#REF!</v>
      </c>
      <c r="BR31" t="e">
        <f>IF(#REF!="",1,IF(#REF!="(blank)",--(AG31=""),IF(#REF!="(nonblank)",--(AG31&lt;&gt;""),--ISNUMBER(SEARCH(#REF!,AG31)))))</f>
        <v>#REF!</v>
      </c>
      <c r="BS31" t="e">
        <f>IF(#REF!="",1,IF(#REF!="(blank)",--(AH31=""),IF(#REF!="(nonblank)",--(AH31&lt;&gt;""),--ISNUMBER(SEARCH(#REF!,AH31)))))</f>
        <v>#REF!</v>
      </c>
      <c r="BT31">
        <f t="shared" si="16"/>
        <v>1</v>
      </c>
    </row>
    <row r="32" spans="1:72" ht="14.25" customHeight="1" x14ac:dyDescent="0.3">
      <c r="A32" s="31">
        <v>30</v>
      </c>
      <c r="B32" s="32" t="s">
        <v>107</v>
      </c>
      <c r="C32" s="33">
        <v>702</v>
      </c>
      <c r="D32" s="34">
        <v>21979</v>
      </c>
      <c r="E32" s="34" t="s">
        <v>38</v>
      </c>
      <c r="F32" s="34">
        <v>2062</v>
      </c>
      <c r="G32" s="32" t="s">
        <v>65</v>
      </c>
      <c r="H32" s="35">
        <v>21060</v>
      </c>
      <c r="I32" s="35">
        <f t="shared" si="0"/>
        <v>3791</v>
      </c>
      <c r="J32" s="35">
        <f t="shared" si="1"/>
        <v>24851</v>
      </c>
      <c r="K32" s="35">
        <f t="shared" si="2"/>
        <v>497</v>
      </c>
      <c r="L32" s="36">
        <f t="shared" si="3"/>
        <v>21.06</v>
      </c>
      <c r="M32" s="36">
        <f t="shared" si="4"/>
        <v>559.14299999999992</v>
      </c>
      <c r="N32" s="37">
        <f t="shared" si="5"/>
        <v>9.4770000000000003</v>
      </c>
      <c r="O32" s="36">
        <f t="shared" si="6"/>
        <v>549.66599999999994</v>
      </c>
      <c r="P32" s="36">
        <f t="shared" si="7"/>
        <v>571</v>
      </c>
      <c r="Q32" s="38">
        <v>0</v>
      </c>
      <c r="R32" s="36">
        <f t="shared" si="8"/>
        <v>0</v>
      </c>
      <c r="S32" s="23">
        <f t="shared" ca="1" si="17"/>
        <v>24777</v>
      </c>
      <c r="T32" s="36">
        <f t="shared" si="10"/>
        <v>5265</v>
      </c>
      <c r="U32" s="39">
        <v>5265</v>
      </c>
      <c r="V32" s="36" t="s">
        <v>45</v>
      </c>
      <c r="W32" s="36">
        <f t="shared" si="11"/>
        <v>19512</v>
      </c>
      <c r="X32" s="36">
        <v>19512</v>
      </c>
      <c r="Y32" s="36" t="s">
        <v>45</v>
      </c>
      <c r="Z32" s="36">
        <f t="shared" ca="1" si="12"/>
        <v>0</v>
      </c>
      <c r="AA32" s="36"/>
      <c r="AB32" s="36"/>
      <c r="AC32" s="11">
        <f t="shared" si="13"/>
        <v>24777</v>
      </c>
      <c r="AD32" s="15">
        <f t="shared" ca="1" si="14"/>
        <v>0</v>
      </c>
      <c r="AE32" s="16" t="str">
        <f t="shared" ca="1" si="15"/>
        <v>SETTLED</v>
      </c>
      <c r="AF32" s="16" t="s">
        <v>108</v>
      </c>
      <c r="AG32" s="17">
        <v>1800003161</v>
      </c>
      <c r="AH32" s="18" t="s">
        <v>52</v>
      </c>
      <c r="AL32" t="e">
        <f>IF(#REF!="",1,IF(#REF!="(blank)",--(A32=""),IF(#REF!="(nonblank)",--(A32&lt;&gt;""),--ISNUMBER(SEARCH(#REF!,A32)))))</f>
        <v>#REF!</v>
      </c>
      <c r="AM32" t="e">
        <f>IF(#REF!="",1,IF(#REF!="(blank)",--(B32=""),IF(#REF!="(nonblank)",--(B32&lt;&gt;""),--ISNUMBER(SEARCH(#REF!,B32)))))</f>
        <v>#REF!</v>
      </c>
      <c r="AN32" t="e">
        <f>IF(#REF!="",1,IF(#REF!="(blank)",--(C32=""),IF(#REF!="(nonblank)",--(C32&lt;&gt;""),--ISNUMBER(SEARCH(#REF!,C32)))))</f>
        <v>#REF!</v>
      </c>
      <c r="AO32" t="e">
        <f>IF(#REF!="",1,IF(#REF!="(blank)",--(D32=""),IF(#REF!="(nonblank)",--(D32&lt;&gt;""),--ISNUMBER(SEARCH(#REF!,D32)))))</f>
        <v>#REF!</v>
      </c>
      <c r="AP32" t="e">
        <f>IF(#REF!="",1,IF(#REF!="(blank)",--(E32=""),IF(#REF!="(nonblank)",--(E32&lt;&gt;""),--ISNUMBER(SEARCH(#REF!,E32)))))</f>
        <v>#REF!</v>
      </c>
      <c r="AQ32" t="e">
        <f>IF(#REF!="",1,IF(#REF!="(blank)",--(F32=""),IF(#REF!="(nonblank)",--(F32&lt;&gt;""),--ISNUMBER(SEARCH(#REF!,F32)))))</f>
        <v>#REF!</v>
      </c>
      <c r="AR32" t="e">
        <f>IF(#REF!="",1,IF(#REF!="(blank)",--(G32=""),IF(#REF!="(nonblank)",--(G32&lt;&gt;""),--ISNUMBER(SEARCH(#REF!,G32)))))</f>
        <v>#REF!</v>
      </c>
      <c r="AS32" t="e">
        <f>IF(#REF!="",1,IF(#REF!="(blank)",--(H32=""),IF(#REF!="(nonblank)",--(H32&lt;&gt;""),--ISNUMBER(SEARCH(#REF!,H32)))))</f>
        <v>#REF!</v>
      </c>
      <c r="AT32" t="e">
        <f>IF(#REF!="",1,IF(#REF!="(blank)",--(I32=""),IF(#REF!="(nonblank)",--(I32&lt;&gt;""),--ISNUMBER(SEARCH(#REF!,I32)))))</f>
        <v>#REF!</v>
      </c>
      <c r="AU32" t="e">
        <f>IF(#REF!="",1,IF(#REF!="(blank)",--(J32=""),IF(#REF!="(nonblank)",--(J32&lt;&gt;""),--ISNUMBER(SEARCH(#REF!,J32)))))</f>
        <v>#REF!</v>
      </c>
      <c r="AV32" t="e">
        <f>IF(#REF!="",1,IF(#REF!="(blank)",--(K32=""),IF(#REF!="(nonblank)",--(K32&lt;&gt;""),--ISNUMBER(SEARCH(#REF!,K32)))))</f>
        <v>#REF!</v>
      </c>
      <c r="AW32" t="e">
        <f>IF(#REF!="",1,IF(#REF!="(blank)",--(L32=""),IF(#REF!="(nonblank)",--(L32&lt;&gt;""),--ISNUMBER(SEARCH(#REF!,L32)))))</f>
        <v>#REF!</v>
      </c>
      <c r="AX32" t="e">
        <f>IF(#REF!="",1,IF(#REF!="(blank)",--(M32=""),IF(#REF!="(nonblank)",--(M32&lt;&gt;""),--ISNUMBER(SEARCH(#REF!,M32)))))</f>
        <v>#REF!</v>
      </c>
      <c r="AY32" t="e">
        <f>IF(#REF!="",1,IF(#REF!="(blank)",--(N32=""),IF(#REF!="(nonblank)",--(N32&lt;&gt;""),--ISNUMBER(SEARCH(#REF!,N32)))))</f>
        <v>#REF!</v>
      </c>
      <c r="AZ32" t="e">
        <f>IF(#REF!="",1,IF(#REF!="(blank)",--(O32=""),IF(#REF!="(nonblank)",--(O32&lt;&gt;""),--ISNUMBER(SEARCH(#REF!,O32)))))</f>
        <v>#REF!</v>
      </c>
      <c r="BA32" t="e">
        <f>IF(#REF!="",1,IF(#REF!="(blank)",--(P32=""),IF(#REF!="(nonblank)",--(P32&lt;&gt;""),--ISNUMBER(SEARCH(#REF!,P32)))))</f>
        <v>#REF!</v>
      </c>
      <c r="BB32" t="e">
        <f>IF(#REF!="",1,IF(#REF!="(blank)",--(Q32=""),IF(#REF!="(nonblank)",--(Q32&lt;&gt;""),--ISNUMBER(SEARCH(#REF!,Q32)))))</f>
        <v>#REF!</v>
      </c>
      <c r="BC32" t="e">
        <f>IF(#REF!="",1,IF(#REF!="(blank)",--(R32=""),IF(#REF!="(nonblank)",--(R32&lt;&gt;""),--ISNUMBER(SEARCH(#REF!,R32)))))</f>
        <v>#REF!</v>
      </c>
      <c r="BD32" t="e">
        <f>IF(#REF!="",1,IF(#REF!="(blank)",--(S32=""),IF(#REF!="(nonblank)",--(S32&lt;&gt;""),--ISNUMBER(SEARCH(#REF!,S32)))))</f>
        <v>#REF!</v>
      </c>
      <c r="BE32" t="e">
        <f>IF(#REF!="",1,IF(#REF!="(blank)",--(T32=""),IF(#REF!="(nonblank)",--(T32&lt;&gt;""),--ISNUMBER(SEARCH(#REF!,T32)))))</f>
        <v>#REF!</v>
      </c>
      <c r="BF32" t="e">
        <f>IF(#REF!="",1,IF(#REF!="(blank)",--(U32=""),IF(#REF!="(nonblank)",--(U32&lt;&gt;""),--ISNUMBER(SEARCH(#REF!,U32)))))</f>
        <v>#REF!</v>
      </c>
      <c r="BG32" t="e">
        <f>IF(#REF!="",1,IF(#REF!="(blank)",--(V32=""),IF(#REF!="(nonblank)",--(V32&lt;&gt;""),--ISNUMBER(SEARCH(#REF!,V32)))))</f>
        <v>#REF!</v>
      </c>
      <c r="BH32" t="e">
        <f>IF(#REF!="",1,IF(#REF!="(blank)",--(W32=""),IF(#REF!="(nonblank)",--(W32&lt;&gt;""),--ISNUMBER(SEARCH(#REF!,W32)))))</f>
        <v>#REF!</v>
      </c>
      <c r="BI32" t="e">
        <f>IF(#REF!="",1,IF(#REF!="(blank)",--(X32=""),IF(#REF!="(nonblank)",--(X32&lt;&gt;""),--ISNUMBER(SEARCH(#REF!,X32)))))</f>
        <v>#REF!</v>
      </c>
      <c r="BJ32" t="e">
        <f>IF(#REF!="",1,IF(#REF!="(blank)",--(Y32=""),IF(#REF!="(nonblank)",--(Y32&lt;&gt;""),--ISNUMBER(SEARCH(#REF!,Y32)))))</f>
        <v>#REF!</v>
      </c>
      <c r="BK32" t="e">
        <f>IF(#REF!="",1,IF(#REF!="(blank)",--(Z32=""),IF(#REF!="(nonblank)",--(Z32&lt;&gt;""),--ISNUMBER(SEARCH(#REF!,Z32)))))</f>
        <v>#REF!</v>
      </c>
      <c r="BL32" t="e">
        <f>IF(#REF!="",1,IF(#REF!="(blank)",--(AA32=""),IF(#REF!="(nonblank)",--(AA32&lt;&gt;""),--ISNUMBER(SEARCH(#REF!,AA32)))))</f>
        <v>#REF!</v>
      </c>
      <c r="BM32" t="e">
        <f>IF(#REF!="",1,IF(#REF!="(blank)",--(AB32=""),IF(#REF!="(nonblank)",--(AB32&lt;&gt;""),--ISNUMBER(SEARCH(#REF!,AB32)))))</f>
        <v>#REF!</v>
      </c>
      <c r="BN32" t="e">
        <f>IF(#REF!="",1,IF(#REF!="(blank)",--(AC32=""),IF(#REF!="(nonblank)",--(AC32&lt;&gt;""),--ISNUMBER(SEARCH(#REF!,AC32)))))</f>
        <v>#REF!</v>
      </c>
      <c r="BO32" t="e">
        <f>IF(#REF!="",1,IF(#REF!="(blank)",--(AD32=""),IF(#REF!="(nonblank)",--(AD32&lt;&gt;""),--ISNUMBER(SEARCH(#REF!,AD32)))))</f>
        <v>#REF!</v>
      </c>
      <c r="BP32" t="e">
        <f>IF(#REF!="",1,IF(#REF!="(blank)",--(AE32=""),IF(#REF!="(nonblank)",--(AE32&lt;&gt;""),--ISNUMBER(SEARCH(#REF!,AE32)))))</f>
        <v>#REF!</v>
      </c>
      <c r="BQ32" t="e">
        <f>IF(#REF!="",1,IF(#REF!="(blank)",--(AF32=""),IF(#REF!="(nonblank)",--(AF32&lt;&gt;""),--ISNUMBER(SEARCH(#REF!,AF32)))))</f>
        <v>#REF!</v>
      </c>
      <c r="BR32" t="e">
        <f>IF(#REF!="",1,IF(#REF!="(blank)",--(AG32=""),IF(#REF!="(nonblank)",--(AG32&lt;&gt;""),--ISNUMBER(SEARCH(#REF!,AG32)))))</f>
        <v>#REF!</v>
      </c>
      <c r="BS32" t="e">
        <f>IF(#REF!="",1,IF(#REF!="(blank)",--(AH32=""),IF(#REF!="(nonblank)",--(AH32&lt;&gt;""),--ISNUMBER(SEARCH(#REF!,AH32)))))</f>
        <v>#REF!</v>
      </c>
      <c r="BT32">
        <f t="shared" si="16"/>
        <v>1</v>
      </c>
    </row>
    <row r="33" spans="1:72" ht="14.25" customHeight="1" x14ac:dyDescent="0.3">
      <c r="A33" s="19">
        <v>150</v>
      </c>
      <c r="B33" s="20" t="s">
        <v>64</v>
      </c>
      <c r="C33" s="21">
        <v>571</v>
      </c>
      <c r="D33" s="22">
        <v>21980</v>
      </c>
      <c r="E33" s="22" t="s">
        <v>38</v>
      </c>
      <c r="F33" s="22">
        <v>2067</v>
      </c>
      <c r="G33" s="20" t="s">
        <v>90</v>
      </c>
      <c r="H33" s="23">
        <v>85650</v>
      </c>
      <c r="I33" s="23">
        <f t="shared" si="0"/>
        <v>15417</v>
      </c>
      <c r="J33" s="23">
        <f t="shared" si="1"/>
        <v>101067</v>
      </c>
      <c r="K33" s="23">
        <f t="shared" si="2"/>
        <v>2021</v>
      </c>
      <c r="L33" s="24">
        <f t="shared" si="3"/>
        <v>85.65</v>
      </c>
      <c r="M33" s="24">
        <f t="shared" si="4"/>
        <v>2274.0074999999997</v>
      </c>
      <c r="N33" s="25">
        <f t="shared" si="5"/>
        <v>38.542500000000004</v>
      </c>
      <c r="O33" s="24">
        <f t="shared" si="6"/>
        <v>2235.4649999999997</v>
      </c>
      <c r="P33" s="24">
        <f t="shared" si="7"/>
        <v>2321</v>
      </c>
      <c r="Q33" s="26">
        <v>0</v>
      </c>
      <c r="R33" s="24">
        <f t="shared" si="8"/>
        <v>0</v>
      </c>
      <c r="S33" s="23">
        <f t="shared" ca="1" si="17"/>
        <v>100767</v>
      </c>
      <c r="T33" s="24">
        <f t="shared" si="10"/>
        <v>21413</v>
      </c>
      <c r="U33" s="27">
        <v>21413</v>
      </c>
      <c r="V33" s="24" t="s">
        <v>52</v>
      </c>
      <c r="W33" s="24">
        <f t="shared" si="11"/>
        <v>79355</v>
      </c>
      <c r="X33" s="24">
        <v>79354</v>
      </c>
      <c r="Y33" s="24" t="s">
        <v>46</v>
      </c>
      <c r="Z33" s="24">
        <f t="shared" ca="1" si="12"/>
        <v>0</v>
      </c>
      <c r="AA33" s="24"/>
      <c r="AB33" s="24"/>
      <c r="AC33" s="28">
        <f t="shared" si="13"/>
        <v>100767</v>
      </c>
      <c r="AD33" s="28">
        <f t="shared" ca="1" si="14"/>
        <v>0</v>
      </c>
      <c r="AE33" s="24" t="str">
        <f t="shared" ca="1" si="15"/>
        <v>SETTLED</v>
      </c>
      <c r="AF33" s="24" t="s">
        <v>109</v>
      </c>
      <c r="AG33" s="29">
        <v>1800003248</v>
      </c>
      <c r="AH33" s="30" t="s">
        <v>46</v>
      </c>
      <c r="AL33" t="e">
        <f>IF(#REF!="",1,IF(#REF!="(blank)",--(A33=""),IF(#REF!="(nonblank)",--(A33&lt;&gt;""),--ISNUMBER(SEARCH(#REF!,A33)))))</f>
        <v>#REF!</v>
      </c>
      <c r="AM33" t="e">
        <f>IF(#REF!="",1,IF(#REF!="(blank)",--(B33=""),IF(#REF!="(nonblank)",--(B33&lt;&gt;""),--ISNUMBER(SEARCH(#REF!,B33)))))</f>
        <v>#REF!</v>
      </c>
      <c r="AN33" t="e">
        <f>IF(#REF!="",1,IF(#REF!="(blank)",--(C33=""),IF(#REF!="(nonblank)",--(C33&lt;&gt;""),--ISNUMBER(SEARCH(#REF!,C33)))))</f>
        <v>#REF!</v>
      </c>
      <c r="AO33" t="e">
        <f>IF(#REF!="",1,IF(#REF!="(blank)",--(D33=""),IF(#REF!="(nonblank)",--(D33&lt;&gt;""),--ISNUMBER(SEARCH(#REF!,D33)))))</f>
        <v>#REF!</v>
      </c>
      <c r="AP33" t="e">
        <f>IF(#REF!="",1,IF(#REF!="(blank)",--(E33=""),IF(#REF!="(nonblank)",--(E33&lt;&gt;""),--ISNUMBER(SEARCH(#REF!,E33)))))</f>
        <v>#REF!</v>
      </c>
      <c r="AQ33" t="e">
        <f>IF(#REF!="",1,IF(#REF!="(blank)",--(F33=""),IF(#REF!="(nonblank)",--(F33&lt;&gt;""),--ISNUMBER(SEARCH(#REF!,F33)))))</f>
        <v>#REF!</v>
      </c>
      <c r="AR33" t="e">
        <f>IF(#REF!="",1,IF(#REF!="(blank)",--(G33=""),IF(#REF!="(nonblank)",--(G33&lt;&gt;""),--ISNUMBER(SEARCH(#REF!,G33)))))</f>
        <v>#REF!</v>
      </c>
      <c r="AS33" t="e">
        <f>IF(#REF!="",1,IF(#REF!="(blank)",--(H33=""),IF(#REF!="(nonblank)",--(H33&lt;&gt;""),--ISNUMBER(SEARCH(#REF!,H33)))))</f>
        <v>#REF!</v>
      </c>
      <c r="AT33" t="e">
        <f>IF(#REF!="",1,IF(#REF!="(blank)",--(I33=""),IF(#REF!="(nonblank)",--(I33&lt;&gt;""),--ISNUMBER(SEARCH(#REF!,I33)))))</f>
        <v>#REF!</v>
      </c>
      <c r="AU33" t="e">
        <f>IF(#REF!="",1,IF(#REF!="(blank)",--(J33=""),IF(#REF!="(nonblank)",--(J33&lt;&gt;""),--ISNUMBER(SEARCH(#REF!,J33)))))</f>
        <v>#REF!</v>
      </c>
      <c r="AV33" t="e">
        <f>IF(#REF!="",1,IF(#REF!="(blank)",--(K33=""),IF(#REF!="(nonblank)",--(K33&lt;&gt;""),--ISNUMBER(SEARCH(#REF!,K33)))))</f>
        <v>#REF!</v>
      </c>
      <c r="AW33" t="e">
        <f>IF(#REF!="",1,IF(#REF!="(blank)",--(L33=""),IF(#REF!="(nonblank)",--(L33&lt;&gt;""),--ISNUMBER(SEARCH(#REF!,L33)))))</f>
        <v>#REF!</v>
      </c>
      <c r="AX33" t="e">
        <f>IF(#REF!="",1,IF(#REF!="(blank)",--(M33=""),IF(#REF!="(nonblank)",--(M33&lt;&gt;""),--ISNUMBER(SEARCH(#REF!,M33)))))</f>
        <v>#REF!</v>
      </c>
      <c r="AY33" t="e">
        <f>IF(#REF!="",1,IF(#REF!="(blank)",--(N33=""),IF(#REF!="(nonblank)",--(N33&lt;&gt;""),--ISNUMBER(SEARCH(#REF!,N33)))))</f>
        <v>#REF!</v>
      </c>
      <c r="AZ33" t="e">
        <f>IF(#REF!="",1,IF(#REF!="(blank)",--(O33=""),IF(#REF!="(nonblank)",--(O33&lt;&gt;""),--ISNUMBER(SEARCH(#REF!,O33)))))</f>
        <v>#REF!</v>
      </c>
      <c r="BA33" t="e">
        <f>IF(#REF!="",1,IF(#REF!="(blank)",--(P33=""),IF(#REF!="(nonblank)",--(P33&lt;&gt;""),--ISNUMBER(SEARCH(#REF!,P33)))))</f>
        <v>#REF!</v>
      </c>
      <c r="BB33" t="e">
        <f>IF(#REF!="",1,IF(#REF!="(blank)",--(Q33=""),IF(#REF!="(nonblank)",--(Q33&lt;&gt;""),--ISNUMBER(SEARCH(#REF!,Q33)))))</f>
        <v>#REF!</v>
      </c>
      <c r="BC33" t="e">
        <f>IF(#REF!="",1,IF(#REF!="(blank)",--(R33=""),IF(#REF!="(nonblank)",--(R33&lt;&gt;""),--ISNUMBER(SEARCH(#REF!,R33)))))</f>
        <v>#REF!</v>
      </c>
      <c r="BD33" t="e">
        <f>IF(#REF!="",1,IF(#REF!="(blank)",--(S33=""),IF(#REF!="(nonblank)",--(S33&lt;&gt;""),--ISNUMBER(SEARCH(#REF!,S33)))))</f>
        <v>#REF!</v>
      </c>
      <c r="BE33" t="e">
        <f>IF(#REF!="",1,IF(#REF!="(blank)",--(T33=""),IF(#REF!="(nonblank)",--(T33&lt;&gt;""),--ISNUMBER(SEARCH(#REF!,T33)))))</f>
        <v>#REF!</v>
      </c>
      <c r="BF33" t="e">
        <f>IF(#REF!="",1,IF(#REF!="(blank)",--(U33=""),IF(#REF!="(nonblank)",--(U33&lt;&gt;""),--ISNUMBER(SEARCH(#REF!,U33)))))</f>
        <v>#REF!</v>
      </c>
      <c r="BG33" t="e">
        <f>IF(#REF!="",1,IF(#REF!="(blank)",--(V33=""),IF(#REF!="(nonblank)",--(V33&lt;&gt;""),--ISNUMBER(SEARCH(#REF!,V33)))))</f>
        <v>#REF!</v>
      </c>
      <c r="BH33" t="e">
        <f>IF(#REF!="",1,IF(#REF!="(blank)",--(W33=""),IF(#REF!="(nonblank)",--(W33&lt;&gt;""),--ISNUMBER(SEARCH(#REF!,W33)))))</f>
        <v>#REF!</v>
      </c>
      <c r="BI33" t="e">
        <f>IF(#REF!="",1,IF(#REF!="(blank)",--(X33=""),IF(#REF!="(nonblank)",--(X33&lt;&gt;""),--ISNUMBER(SEARCH(#REF!,X33)))))</f>
        <v>#REF!</v>
      </c>
      <c r="BJ33" t="e">
        <f>IF(#REF!="",1,IF(#REF!="(blank)",--(Y33=""),IF(#REF!="(nonblank)",--(Y33&lt;&gt;""),--ISNUMBER(SEARCH(#REF!,Y33)))))</f>
        <v>#REF!</v>
      </c>
      <c r="BK33" t="e">
        <f>IF(#REF!="",1,IF(#REF!="(blank)",--(Z33=""),IF(#REF!="(nonblank)",--(Z33&lt;&gt;""),--ISNUMBER(SEARCH(#REF!,Z33)))))</f>
        <v>#REF!</v>
      </c>
      <c r="BL33" t="e">
        <f>IF(#REF!="",1,IF(#REF!="(blank)",--(AA33=""),IF(#REF!="(nonblank)",--(AA33&lt;&gt;""),--ISNUMBER(SEARCH(#REF!,AA33)))))</f>
        <v>#REF!</v>
      </c>
      <c r="BM33" t="e">
        <f>IF(#REF!="",1,IF(#REF!="(blank)",--(AB33=""),IF(#REF!="(nonblank)",--(AB33&lt;&gt;""),--ISNUMBER(SEARCH(#REF!,AB33)))))</f>
        <v>#REF!</v>
      </c>
      <c r="BN33" t="e">
        <f>IF(#REF!="",1,IF(#REF!="(blank)",--(AC33=""),IF(#REF!="(nonblank)",--(AC33&lt;&gt;""),--ISNUMBER(SEARCH(#REF!,AC33)))))</f>
        <v>#REF!</v>
      </c>
      <c r="BO33" t="e">
        <f>IF(#REF!="",1,IF(#REF!="(blank)",--(AD33=""),IF(#REF!="(nonblank)",--(AD33&lt;&gt;""),--ISNUMBER(SEARCH(#REF!,AD33)))))</f>
        <v>#REF!</v>
      </c>
      <c r="BP33" t="e">
        <f>IF(#REF!="",1,IF(#REF!="(blank)",--(AE33=""),IF(#REF!="(nonblank)",--(AE33&lt;&gt;""),--ISNUMBER(SEARCH(#REF!,AE33)))))</f>
        <v>#REF!</v>
      </c>
      <c r="BQ33" t="e">
        <f>IF(#REF!="",1,IF(#REF!="(blank)",--(AF33=""),IF(#REF!="(nonblank)",--(AF33&lt;&gt;""),--ISNUMBER(SEARCH(#REF!,AF33)))))</f>
        <v>#REF!</v>
      </c>
      <c r="BR33" t="e">
        <f>IF(#REF!="",1,IF(#REF!="(blank)",--(AG33=""),IF(#REF!="(nonblank)",--(AG33&lt;&gt;""),--ISNUMBER(SEARCH(#REF!,AG33)))))</f>
        <v>#REF!</v>
      </c>
      <c r="BS33" t="e">
        <f>IF(#REF!="",1,IF(#REF!="(blank)",--(AH33=""),IF(#REF!="(nonblank)",--(AH33&lt;&gt;""),--ISNUMBER(SEARCH(#REF!,AH33)))))</f>
        <v>#REF!</v>
      </c>
      <c r="BT33">
        <f t="shared" si="16"/>
        <v>1</v>
      </c>
    </row>
    <row r="34" spans="1:72" ht="14.25" customHeight="1" x14ac:dyDescent="0.3">
      <c r="A34" s="31">
        <v>1</v>
      </c>
      <c r="B34" s="32" t="s">
        <v>110</v>
      </c>
      <c r="C34" s="33">
        <v>54000</v>
      </c>
      <c r="D34" s="34">
        <v>21980</v>
      </c>
      <c r="E34" s="34" t="s">
        <v>38</v>
      </c>
      <c r="F34" s="34">
        <v>2069</v>
      </c>
      <c r="G34" s="32" t="s">
        <v>65</v>
      </c>
      <c r="H34" s="35">
        <v>54000</v>
      </c>
      <c r="I34" s="35">
        <f t="shared" si="0"/>
        <v>9720</v>
      </c>
      <c r="J34" s="35">
        <f t="shared" si="1"/>
        <v>63720</v>
      </c>
      <c r="K34" s="35">
        <f t="shared" si="2"/>
        <v>1274</v>
      </c>
      <c r="L34" s="36">
        <f t="shared" si="3"/>
        <v>54</v>
      </c>
      <c r="M34" s="36">
        <f t="shared" si="4"/>
        <v>1433.6999999999998</v>
      </c>
      <c r="N34" s="37">
        <f t="shared" si="5"/>
        <v>24.3</v>
      </c>
      <c r="O34" s="36">
        <f t="shared" si="6"/>
        <v>1409.3999999999999</v>
      </c>
      <c r="P34" s="36">
        <f t="shared" si="7"/>
        <v>1463</v>
      </c>
      <c r="Q34" s="38">
        <v>0</v>
      </c>
      <c r="R34" s="36">
        <f t="shared" si="8"/>
        <v>0</v>
      </c>
      <c r="S34" s="23">
        <f t="shared" ca="1" si="17"/>
        <v>65443</v>
      </c>
      <c r="T34" s="36">
        <f t="shared" si="10"/>
        <v>13500</v>
      </c>
      <c r="U34" s="39">
        <v>13500</v>
      </c>
      <c r="V34" s="36" t="s">
        <v>45</v>
      </c>
      <c r="W34" s="36">
        <f t="shared" si="11"/>
        <v>50031</v>
      </c>
      <c r="X34" s="36"/>
      <c r="Y34" s="36">
        <v>0</v>
      </c>
      <c r="Z34" s="36">
        <f t="shared" ca="1" si="12"/>
        <v>1911.6</v>
      </c>
      <c r="AA34" s="36"/>
      <c r="AB34" s="36"/>
      <c r="AC34" s="11">
        <f t="shared" si="13"/>
        <v>13500</v>
      </c>
      <c r="AD34" s="15">
        <f t="shared" ca="1" si="14"/>
        <v>51943</v>
      </c>
      <c r="AE34" s="16" t="str">
        <f t="shared" ca="1" si="15"/>
        <v>OUTSTANDING</v>
      </c>
      <c r="AF34" s="16"/>
      <c r="AG34" s="17"/>
      <c r="AH34" s="18"/>
      <c r="AL34" t="e">
        <f>IF(#REF!="",1,IF(#REF!="(blank)",--(A34=""),IF(#REF!="(nonblank)",--(A34&lt;&gt;""),--ISNUMBER(SEARCH(#REF!,A34)))))</f>
        <v>#REF!</v>
      </c>
      <c r="AM34" t="e">
        <f>IF(#REF!="",1,IF(#REF!="(blank)",--(B34=""),IF(#REF!="(nonblank)",--(B34&lt;&gt;""),--ISNUMBER(SEARCH(#REF!,B34)))))</f>
        <v>#REF!</v>
      </c>
      <c r="AN34" t="e">
        <f>IF(#REF!="",1,IF(#REF!="(blank)",--(C34=""),IF(#REF!="(nonblank)",--(C34&lt;&gt;""),--ISNUMBER(SEARCH(#REF!,C34)))))</f>
        <v>#REF!</v>
      </c>
      <c r="AO34" t="e">
        <f>IF(#REF!="",1,IF(#REF!="(blank)",--(D34=""),IF(#REF!="(nonblank)",--(D34&lt;&gt;""),--ISNUMBER(SEARCH(#REF!,D34)))))</f>
        <v>#REF!</v>
      </c>
      <c r="AP34" t="e">
        <f>IF(#REF!="",1,IF(#REF!="(blank)",--(E34=""),IF(#REF!="(nonblank)",--(E34&lt;&gt;""),--ISNUMBER(SEARCH(#REF!,E34)))))</f>
        <v>#REF!</v>
      </c>
      <c r="AQ34" t="e">
        <f>IF(#REF!="",1,IF(#REF!="(blank)",--(F34=""),IF(#REF!="(nonblank)",--(F34&lt;&gt;""),--ISNUMBER(SEARCH(#REF!,F34)))))</f>
        <v>#REF!</v>
      </c>
      <c r="AR34" t="e">
        <f>IF(#REF!="",1,IF(#REF!="(blank)",--(G34=""),IF(#REF!="(nonblank)",--(G34&lt;&gt;""),--ISNUMBER(SEARCH(#REF!,G34)))))</f>
        <v>#REF!</v>
      </c>
      <c r="AS34" t="e">
        <f>IF(#REF!="",1,IF(#REF!="(blank)",--(H34=""),IF(#REF!="(nonblank)",--(H34&lt;&gt;""),--ISNUMBER(SEARCH(#REF!,H34)))))</f>
        <v>#REF!</v>
      </c>
      <c r="AT34" t="e">
        <f>IF(#REF!="",1,IF(#REF!="(blank)",--(I34=""),IF(#REF!="(nonblank)",--(I34&lt;&gt;""),--ISNUMBER(SEARCH(#REF!,I34)))))</f>
        <v>#REF!</v>
      </c>
      <c r="AU34" t="e">
        <f>IF(#REF!="",1,IF(#REF!="(blank)",--(J34=""),IF(#REF!="(nonblank)",--(J34&lt;&gt;""),--ISNUMBER(SEARCH(#REF!,J34)))))</f>
        <v>#REF!</v>
      </c>
      <c r="AV34" t="e">
        <f>IF(#REF!="",1,IF(#REF!="(blank)",--(K34=""),IF(#REF!="(nonblank)",--(K34&lt;&gt;""),--ISNUMBER(SEARCH(#REF!,K34)))))</f>
        <v>#REF!</v>
      </c>
      <c r="AW34" t="e">
        <f>IF(#REF!="",1,IF(#REF!="(blank)",--(L34=""),IF(#REF!="(nonblank)",--(L34&lt;&gt;""),--ISNUMBER(SEARCH(#REF!,L34)))))</f>
        <v>#REF!</v>
      </c>
      <c r="AX34" t="e">
        <f>IF(#REF!="",1,IF(#REF!="(blank)",--(M34=""),IF(#REF!="(nonblank)",--(M34&lt;&gt;""),--ISNUMBER(SEARCH(#REF!,M34)))))</f>
        <v>#REF!</v>
      </c>
      <c r="AY34" t="e">
        <f>IF(#REF!="",1,IF(#REF!="(blank)",--(N34=""),IF(#REF!="(nonblank)",--(N34&lt;&gt;""),--ISNUMBER(SEARCH(#REF!,N34)))))</f>
        <v>#REF!</v>
      </c>
      <c r="AZ34" t="e">
        <f>IF(#REF!="",1,IF(#REF!="(blank)",--(O34=""),IF(#REF!="(nonblank)",--(O34&lt;&gt;""),--ISNUMBER(SEARCH(#REF!,O34)))))</f>
        <v>#REF!</v>
      </c>
      <c r="BA34" t="e">
        <f>IF(#REF!="",1,IF(#REF!="(blank)",--(P34=""),IF(#REF!="(nonblank)",--(P34&lt;&gt;""),--ISNUMBER(SEARCH(#REF!,P34)))))</f>
        <v>#REF!</v>
      </c>
      <c r="BB34" t="e">
        <f>IF(#REF!="",1,IF(#REF!="(blank)",--(Q34=""),IF(#REF!="(nonblank)",--(Q34&lt;&gt;""),--ISNUMBER(SEARCH(#REF!,Q34)))))</f>
        <v>#REF!</v>
      </c>
      <c r="BC34" t="e">
        <f>IF(#REF!="",1,IF(#REF!="(blank)",--(R34=""),IF(#REF!="(nonblank)",--(R34&lt;&gt;""),--ISNUMBER(SEARCH(#REF!,R34)))))</f>
        <v>#REF!</v>
      </c>
      <c r="BD34" t="e">
        <f>IF(#REF!="",1,IF(#REF!="(blank)",--(S34=""),IF(#REF!="(nonblank)",--(S34&lt;&gt;""),--ISNUMBER(SEARCH(#REF!,S34)))))</f>
        <v>#REF!</v>
      </c>
      <c r="BE34" t="e">
        <f>IF(#REF!="",1,IF(#REF!="(blank)",--(T34=""),IF(#REF!="(nonblank)",--(T34&lt;&gt;""),--ISNUMBER(SEARCH(#REF!,T34)))))</f>
        <v>#REF!</v>
      </c>
      <c r="BF34" t="e">
        <f>IF(#REF!="",1,IF(#REF!="(blank)",--(U34=""),IF(#REF!="(nonblank)",--(U34&lt;&gt;""),--ISNUMBER(SEARCH(#REF!,U34)))))</f>
        <v>#REF!</v>
      </c>
      <c r="BG34" t="e">
        <f>IF(#REF!="",1,IF(#REF!="(blank)",--(V34=""),IF(#REF!="(nonblank)",--(V34&lt;&gt;""),--ISNUMBER(SEARCH(#REF!,V34)))))</f>
        <v>#REF!</v>
      </c>
      <c r="BH34" t="e">
        <f>IF(#REF!="",1,IF(#REF!="(blank)",--(W34=""),IF(#REF!="(nonblank)",--(W34&lt;&gt;""),--ISNUMBER(SEARCH(#REF!,W34)))))</f>
        <v>#REF!</v>
      </c>
      <c r="BI34" t="e">
        <f>IF(#REF!="",1,IF(#REF!="(blank)",--(X34=""),IF(#REF!="(nonblank)",--(X34&lt;&gt;""),--ISNUMBER(SEARCH(#REF!,X34)))))</f>
        <v>#REF!</v>
      </c>
      <c r="BJ34" t="e">
        <f>IF(#REF!="",1,IF(#REF!="(blank)",--(Y34=""),IF(#REF!="(nonblank)",--(Y34&lt;&gt;""),--ISNUMBER(SEARCH(#REF!,Y34)))))</f>
        <v>#REF!</v>
      </c>
      <c r="BK34" t="e">
        <f>IF(#REF!="",1,IF(#REF!="(blank)",--(Z34=""),IF(#REF!="(nonblank)",--(Z34&lt;&gt;""),--ISNUMBER(SEARCH(#REF!,Z34)))))</f>
        <v>#REF!</v>
      </c>
      <c r="BL34" t="e">
        <f>IF(#REF!="",1,IF(#REF!="(blank)",--(AA34=""),IF(#REF!="(nonblank)",--(AA34&lt;&gt;""),--ISNUMBER(SEARCH(#REF!,AA34)))))</f>
        <v>#REF!</v>
      </c>
      <c r="BM34" t="e">
        <f>IF(#REF!="",1,IF(#REF!="(blank)",--(AB34=""),IF(#REF!="(nonblank)",--(AB34&lt;&gt;""),--ISNUMBER(SEARCH(#REF!,AB34)))))</f>
        <v>#REF!</v>
      </c>
      <c r="BN34" t="e">
        <f>IF(#REF!="",1,IF(#REF!="(blank)",--(AC34=""),IF(#REF!="(nonblank)",--(AC34&lt;&gt;""),--ISNUMBER(SEARCH(#REF!,AC34)))))</f>
        <v>#REF!</v>
      </c>
      <c r="BO34" t="e">
        <f>IF(#REF!="",1,IF(#REF!="(blank)",--(AD34=""),IF(#REF!="(nonblank)",--(AD34&lt;&gt;""),--ISNUMBER(SEARCH(#REF!,AD34)))))</f>
        <v>#REF!</v>
      </c>
      <c r="BP34" t="e">
        <f>IF(#REF!="",1,IF(#REF!="(blank)",--(AE34=""),IF(#REF!="(nonblank)",--(AE34&lt;&gt;""),--ISNUMBER(SEARCH(#REF!,AE34)))))</f>
        <v>#REF!</v>
      </c>
      <c r="BQ34" t="e">
        <f>IF(#REF!="",1,IF(#REF!="(blank)",--(AF34=""),IF(#REF!="(nonblank)",--(AF34&lt;&gt;""),--ISNUMBER(SEARCH(#REF!,AF34)))))</f>
        <v>#REF!</v>
      </c>
      <c r="BR34" t="e">
        <f>IF(#REF!="",1,IF(#REF!="(blank)",--(AG34=""),IF(#REF!="(nonblank)",--(AG34&lt;&gt;""),--ISNUMBER(SEARCH(#REF!,AG34)))))</f>
        <v>#REF!</v>
      </c>
      <c r="BS34" t="e">
        <f>IF(#REF!="",1,IF(#REF!="(blank)",--(AH34=""),IF(#REF!="(nonblank)",--(AH34&lt;&gt;""),--ISNUMBER(SEARCH(#REF!,AH34)))))</f>
        <v>#REF!</v>
      </c>
      <c r="BT34">
        <f t="shared" si="16"/>
        <v>1</v>
      </c>
    </row>
    <row r="35" spans="1:72" ht="14.25" customHeight="1" x14ac:dyDescent="0.3">
      <c r="A35" s="19">
        <v>3</v>
      </c>
      <c r="B35" s="20" t="s">
        <v>111</v>
      </c>
      <c r="C35" s="21">
        <v>25001</v>
      </c>
      <c r="D35" s="22">
        <v>21980</v>
      </c>
      <c r="E35" s="22" t="s">
        <v>38</v>
      </c>
      <c r="F35" s="22">
        <v>2071</v>
      </c>
      <c r="G35" s="20" t="s">
        <v>39</v>
      </c>
      <c r="H35" s="23">
        <v>75003</v>
      </c>
      <c r="I35" s="23">
        <f t="shared" si="0"/>
        <v>13501</v>
      </c>
      <c r="J35" s="23">
        <f t="shared" si="1"/>
        <v>88504</v>
      </c>
      <c r="K35" s="23">
        <f t="shared" si="2"/>
        <v>1770</v>
      </c>
      <c r="L35" s="24">
        <f t="shared" si="3"/>
        <v>75.003</v>
      </c>
      <c r="M35" s="24">
        <f t="shared" si="4"/>
        <v>1991.3296499999997</v>
      </c>
      <c r="N35" s="25">
        <f t="shared" si="5"/>
        <v>33.751349999999995</v>
      </c>
      <c r="O35" s="24">
        <f t="shared" si="6"/>
        <v>1957.5782999999997</v>
      </c>
      <c r="P35" s="24">
        <f t="shared" si="7"/>
        <v>2033</v>
      </c>
      <c r="Q35" s="26">
        <v>0</v>
      </c>
      <c r="R35" s="24">
        <f t="shared" si="8"/>
        <v>0</v>
      </c>
      <c r="S35" s="23">
        <f t="shared" ca="1" si="17"/>
        <v>88241</v>
      </c>
      <c r="T35" s="24">
        <f t="shared" si="10"/>
        <v>18751</v>
      </c>
      <c r="U35" s="27">
        <f>+T35</f>
        <v>18751</v>
      </c>
      <c r="V35" s="24" t="s">
        <v>40</v>
      </c>
      <c r="W35" s="24">
        <f t="shared" si="11"/>
        <v>69490</v>
      </c>
      <c r="X35" s="24">
        <v>69491</v>
      </c>
      <c r="Y35" s="24" t="s">
        <v>34</v>
      </c>
      <c r="Z35" s="24">
        <f t="shared" ca="1" si="12"/>
        <v>0</v>
      </c>
      <c r="AA35" s="24"/>
      <c r="AB35" s="24"/>
      <c r="AC35" s="28">
        <f t="shared" si="13"/>
        <v>88242</v>
      </c>
      <c r="AD35" s="28">
        <f t="shared" ca="1" si="14"/>
        <v>-1</v>
      </c>
      <c r="AE35" s="24" t="str">
        <f t="shared" ca="1" si="15"/>
        <v>SETTLED</v>
      </c>
      <c r="AF35" s="24" t="s">
        <v>112</v>
      </c>
      <c r="AG35" s="29">
        <v>1800003314</v>
      </c>
      <c r="AH35" s="30" t="s">
        <v>42</v>
      </c>
      <c r="AL35" t="e">
        <f>IF(#REF!="",1,IF(#REF!="(blank)",--(A35=""),IF(#REF!="(nonblank)",--(A35&lt;&gt;""),--ISNUMBER(SEARCH(#REF!,A35)))))</f>
        <v>#REF!</v>
      </c>
      <c r="AM35" t="e">
        <f>IF(#REF!="",1,IF(#REF!="(blank)",--(B35=""),IF(#REF!="(nonblank)",--(B35&lt;&gt;""),--ISNUMBER(SEARCH(#REF!,B35)))))</f>
        <v>#REF!</v>
      </c>
      <c r="AN35" t="e">
        <f>IF(#REF!="",1,IF(#REF!="(blank)",--(C35=""),IF(#REF!="(nonblank)",--(C35&lt;&gt;""),--ISNUMBER(SEARCH(#REF!,C35)))))</f>
        <v>#REF!</v>
      </c>
      <c r="AO35" t="e">
        <f>IF(#REF!="",1,IF(#REF!="(blank)",--(D35=""),IF(#REF!="(nonblank)",--(D35&lt;&gt;""),--ISNUMBER(SEARCH(#REF!,D35)))))</f>
        <v>#REF!</v>
      </c>
      <c r="AP35" t="e">
        <f>IF(#REF!="",1,IF(#REF!="(blank)",--(E35=""),IF(#REF!="(nonblank)",--(E35&lt;&gt;""),--ISNUMBER(SEARCH(#REF!,E35)))))</f>
        <v>#REF!</v>
      </c>
      <c r="AQ35" t="e">
        <f>IF(#REF!="",1,IF(#REF!="(blank)",--(F35=""),IF(#REF!="(nonblank)",--(F35&lt;&gt;""),--ISNUMBER(SEARCH(#REF!,F35)))))</f>
        <v>#REF!</v>
      </c>
      <c r="AR35" t="e">
        <f>IF(#REF!="",1,IF(#REF!="(blank)",--(G35=""),IF(#REF!="(nonblank)",--(G35&lt;&gt;""),--ISNUMBER(SEARCH(#REF!,G35)))))</f>
        <v>#REF!</v>
      </c>
      <c r="AS35" t="e">
        <f>IF(#REF!="",1,IF(#REF!="(blank)",--(H35=""),IF(#REF!="(nonblank)",--(H35&lt;&gt;""),--ISNUMBER(SEARCH(#REF!,H35)))))</f>
        <v>#REF!</v>
      </c>
      <c r="AT35" t="e">
        <f>IF(#REF!="",1,IF(#REF!="(blank)",--(I35=""),IF(#REF!="(nonblank)",--(I35&lt;&gt;""),--ISNUMBER(SEARCH(#REF!,I35)))))</f>
        <v>#REF!</v>
      </c>
      <c r="AU35" t="e">
        <f>IF(#REF!="",1,IF(#REF!="(blank)",--(J35=""),IF(#REF!="(nonblank)",--(J35&lt;&gt;""),--ISNUMBER(SEARCH(#REF!,J35)))))</f>
        <v>#REF!</v>
      </c>
      <c r="AV35" t="e">
        <f>IF(#REF!="",1,IF(#REF!="(blank)",--(K35=""),IF(#REF!="(nonblank)",--(K35&lt;&gt;""),--ISNUMBER(SEARCH(#REF!,K35)))))</f>
        <v>#REF!</v>
      </c>
      <c r="AW35" t="e">
        <f>IF(#REF!="",1,IF(#REF!="(blank)",--(L35=""),IF(#REF!="(nonblank)",--(L35&lt;&gt;""),--ISNUMBER(SEARCH(#REF!,L35)))))</f>
        <v>#REF!</v>
      </c>
      <c r="AX35" t="e">
        <f>IF(#REF!="",1,IF(#REF!="(blank)",--(M35=""),IF(#REF!="(nonblank)",--(M35&lt;&gt;""),--ISNUMBER(SEARCH(#REF!,M35)))))</f>
        <v>#REF!</v>
      </c>
      <c r="AY35" t="e">
        <f>IF(#REF!="",1,IF(#REF!="(blank)",--(N35=""),IF(#REF!="(nonblank)",--(N35&lt;&gt;""),--ISNUMBER(SEARCH(#REF!,N35)))))</f>
        <v>#REF!</v>
      </c>
      <c r="AZ35" t="e">
        <f>IF(#REF!="",1,IF(#REF!="(blank)",--(O35=""),IF(#REF!="(nonblank)",--(O35&lt;&gt;""),--ISNUMBER(SEARCH(#REF!,O35)))))</f>
        <v>#REF!</v>
      </c>
      <c r="BA35" t="e">
        <f>IF(#REF!="",1,IF(#REF!="(blank)",--(P35=""),IF(#REF!="(nonblank)",--(P35&lt;&gt;""),--ISNUMBER(SEARCH(#REF!,P35)))))</f>
        <v>#REF!</v>
      </c>
      <c r="BB35" t="e">
        <f>IF(#REF!="",1,IF(#REF!="(blank)",--(Q35=""),IF(#REF!="(nonblank)",--(Q35&lt;&gt;""),--ISNUMBER(SEARCH(#REF!,Q35)))))</f>
        <v>#REF!</v>
      </c>
      <c r="BC35" t="e">
        <f>IF(#REF!="",1,IF(#REF!="(blank)",--(R35=""),IF(#REF!="(nonblank)",--(R35&lt;&gt;""),--ISNUMBER(SEARCH(#REF!,R35)))))</f>
        <v>#REF!</v>
      </c>
      <c r="BD35" t="e">
        <f>IF(#REF!="",1,IF(#REF!="(blank)",--(S35=""),IF(#REF!="(nonblank)",--(S35&lt;&gt;""),--ISNUMBER(SEARCH(#REF!,S35)))))</f>
        <v>#REF!</v>
      </c>
      <c r="BE35" t="e">
        <f>IF(#REF!="",1,IF(#REF!="(blank)",--(T35=""),IF(#REF!="(nonblank)",--(T35&lt;&gt;""),--ISNUMBER(SEARCH(#REF!,T35)))))</f>
        <v>#REF!</v>
      </c>
      <c r="BF35" t="e">
        <f>IF(#REF!="",1,IF(#REF!="(blank)",--(U35=""),IF(#REF!="(nonblank)",--(U35&lt;&gt;""),--ISNUMBER(SEARCH(#REF!,U35)))))</f>
        <v>#REF!</v>
      </c>
      <c r="BG35" t="e">
        <f>IF(#REF!="",1,IF(#REF!="(blank)",--(V35=""),IF(#REF!="(nonblank)",--(V35&lt;&gt;""),--ISNUMBER(SEARCH(#REF!,V35)))))</f>
        <v>#REF!</v>
      </c>
      <c r="BH35" t="e">
        <f>IF(#REF!="",1,IF(#REF!="(blank)",--(W35=""),IF(#REF!="(nonblank)",--(W35&lt;&gt;""),--ISNUMBER(SEARCH(#REF!,W35)))))</f>
        <v>#REF!</v>
      </c>
      <c r="BI35" t="e">
        <f>IF(#REF!="",1,IF(#REF!="(blank)",--(X35=""),IF(#REF!="(nonblank)",--(X35&lt;&gt;""),--ISNUMBER(SEARCH(#REF!,X35)))))</f>
        <v>#REF!</v>
      </c>
      <c r="BJ35" t="e">
        <f>IF(#REF!="",1,IF(#REF!="(blank)",--(Y35=""),IF(#REF!="(nonblank)",--(Y35&lt;&gt;""),--ISNUMBER(SEARCH(#REF!,Y35)))))</f>
        <v>#REF!</v>
      </c>
      <c r="BK35" t="e">
        <f>IF(#REF!="",1,IF(#REF!="(blank)",--(Z35=""),IF(#REF!="(nonblank)",--(Z35&lt;&gt;""),--ISNUMBER(SEARCH(#REF!,Z35)))))</f>
        <v>#REF!</v>
      </c>
      <c r="BL35" t="e">
        <f>IF(#REF!="",1,IF(#REF!="(blank)",--(AA35=""),IF(#REF!="(nonblank)",--(AA35&lt;&gt;""),--ISNUMBER(SEARCH(#REF!,AA35)))))</f>
        <v>#REF!</v>
      </c>
      <c r="BM35" t="e">
        <f>IF(#REF!="",1,IF(#REF!="(blank)",--(AB35=""),IF(#REF!="(nonblank)",--(AB35&lt;&gt;""),--ISNUMBER(SEARCH(#REF!,AB35)))))</f>
        <v>#REF!</v>
      </c>
      <c r="BN35" t="e">
        <f>IF(#REF!="",1,IF(#REF!="(blank)",--(AC35=""),IF(#REF!="(nonblank)",--(AC35&lt;&gt;""),--ISNUMBER(SEARCH(#REF!,AC35)))))</f>
        <v>#REF!</v>
      </c>
      <c r="BO35" t="e">
        <f>IF(#REF!="",1,IF(#REF!="(blank)",--(AD35=""),IF(#REF!="(nonblank)",--(AD35&lt;&gt;""),--ISNUMBER(SEARCH(#REF!,AD35)))))</f>
        <v>#REF!</v>
      </c>
      <c r="BP35" t="e">
        <f>IF(#REF!="",1,IF(#REF!="(blank)",--(AE35=""),IF(#REF!="(nonblank)",--(AE35&lt;&gt;""),--ISNUMBER(SEARCH(#REF!,AE35)))))</f>
        <v>#REF!</v>
      </c>
      <c r="BQ35" t="e">
        <f>IF(#REF!="",1,IF(#REF!="(blank)",--(AF35=""),IF(#REF!="(nonblank)",--(AF35&lt;&gt;""),--ISNUMBER(SEARCH(#REF!,AF35)))))</f>
        <v>#REF!</v>
      </c>
      <c r="BR35" t="e">
        <f>IF(#REF!="",1,IF(#REF!="(blank)",--(AG35=""),IF(#REF!="(nonblank)",--(AG35&lt;&gt;""),--ISNUMBER(SEARCH(#REF!,AG35)))))</f>
        <v>#REF!</v>
      </c>
      <c r="BS35" t="e">
        <f>IF(#REF!="",1,IF(#REF!="(blank)",--(AH35=""),IF(#REF!="(nonblank)",--(AH35&lt;&gt;""),--ISNUMBER(SEARCH(#REF!,AH35)))))</f>
        <v>#REF!</v>
      </c>
      <c r="BT35">
        <f t="shared" si="16"/>
        <v>1</v>
      </c>
    </row>
    <row r="36" spans="1:72" ht="14.25" customHeight="1" x14ac:dyDescent="0.3">
      <c r="A36" s="31">
        <v>3</v>
      </c>
      <c r="B36" s="32" t="s">
        <v>58</v>
      </c>
      <c r="C36" s="33">
        <v>70001</v>
      </c>
      <c r="D36" s="34">
        <v>21980</v>
      </c>
      <c r="E36" s="34" t="s">
        <v>38</v>
      </c>
      <c r="F36" s="34">
        <v>2086</v>
      </c>
      <c r="G36" s="32" t="s">
        <v>113</v>
      </c>
      <c r="H36" s="35">
        <v>210003</v>
      </c>
      <c r="I36" s="35">
        <f t="shared" si="0"/>
        <v>37801</v>
      </c>
      <c r="J36" s="35">
        <f t="shared" si="1"/>
        <v>247804</v>
      </c>
      <c r="K36" s="35">
        <f t="shared" si="2"/>
        <v>4956</v>
      </c>
      <c r="L36" s="36">
        <f t="shared" si="3"/>
        <v>210.00300000000001</v>
      </c>
      <c r="M36" s="36">
        <f t="shared" si="4"/>
        <v>5575.5796499999997</v>
      </c>
      <c r="N36" s="37">
        <f t="shared" si="5"/>
        <v>94.501350000000002</v>
      </c>
      <c r="O36" s="36">
        <f t="shared" si="6"/>
        <v>5481.0782999999992</v>
      </c>
      <c r="P36" s="36">
        <f t="shared" si="7"/>
        <v>5691</v>
      </c>
      <c r="Q36" s="38">
        <v>0</v>
      </c>
      <c r="R36" s="36">
        <f t="shared" si="8"/>
        <v>0</v>
      </c>
      <c r="S36" s="23">
        <f t="shared" ca="1" si="17"/>
        <v>247069</v>
      </c>
      <c r="T36" s="36">
        <f t="shared" si="10"/>
        <v>52501</v>
      </c>
      <c r="U36" s="39">
        <v>52501</v>
      </c>
      <c r="V36" s="36" t="s">
        <v>57</v>
      </c>
      <c r="W36" s="36">
        <f t="shared" si="11"/>
        <v>194568</v>
      </c>
      <c r="X36" s="36">
        <v>194568</v>
      </c>
      <c r="Y36" s="36" t="s">
        <v>57</v>
      </c>
      <c r="Z36" s="36">
        <f t="shared" ca="1" si="12"/>
        <v>0</v>
      </c>
      <c r="AA36" s="36"/>
      <c r="AB36" s="36"/>
      <c r="AC36" s="11">
        <f t="shared" si="13"/>
        <v>247069</v>
      </c>
      <c r="AD36" s="15">
        <f t="shared" ca="1" si="14"/>
        <v>0</v>
      </c>
      <c r="AE36" s="16" t="str">
        <f t="shared" ca="1" si="15"/>
        <v>SETTLED</v>
      </c>
      <c r="AF36" s="16" t="s">
        <v>114</v>
      </c>
      <c r="AG36" s="17">
        <v>1800003226</v>
      </c>
      <c r="AH36" s="18" t="s">
        <v>115</v>
      </c>
      <c r="AL36" t="e">
        <f>IF(#REF!="",1,IF(#REF!="(blank)",--(A36=""),IF(#REF!="(nonblank)",--(A36&lt;&gt;""),--ISNUMBER(SEARCH(#REF!,A36)))))</f>
        <v>#REF!</v>
      </c>
      <c r="AM36" t="e">
        <f>IF(#REF!="",1,IF(#REF!="(blank)",--(B36=""),IF(#REF!="(nonblank)",--(B36&lt;&gt;""),--ISNUMBER(SEARCH(#REF!,B36)))))</f>
        <v>#REF!</v>
      </c>
      <c r="AN36" t="e">
        <f>IF(#REF!="",1,IF(#REF!="(blank)",--(C36=""),IF(#REF!="(nonblank)",--(C36&lt;&gt;""),--ISNUMBER(SEARCH(#REF!,C36)))))</f>
        <v>#REF!</v>
      </c>
      <c r="AO36" t="e">
        <f>IF(#REF!="",1,IF(#REF!="(blank)",--(D36=""),IF(#REF!="(nonblank)",--(D36&lt;&gt;""),--ISNUMBER(SEARCH(#REF!,D36)))))</f>
        <v>#REF!</v>
      </c>
      <c r="AP36" t="e">
        <f>IF(#REF!="",1,IF(#REF!="(blank)",--(E36=""),IF(#REF!="(nonblank)",--(E36&lt;&gt;""),--ISNUMBER(SEARCH(#REF!,E36)))))</f>
        <v>#REF!</v>
      </c>
      <c r="AQ36" t="e">
        <f>IF(#REF!="",1,IF(#REF!="(blank)",--(F36=""),IF(#REF!="(nonblank)",--(F36&lt;&gt;""),--ISNUMBER(SEARCH(#REF!,F36)))))</f>
        <v>#REF!</v>
      </c>
      <c r="AR36" t="e">
        <f>IF(#REF!="",1,IF(#REF!="(blank)",--(G36=""),IF(#REF!="(nonblank)",--(G36&lt;&gt;""),--ISNUMBER(SEARCH(#REF!,G36)))))</f>
        <v>#REF!</v>
      </c>
      <c r="AS36" t="e">
        <f>IF(#REF!="",1,IF(#REF!="(blank)",--(H36=""),IF(#REF!="(nonblank)",--(H36&lt;&gt;""),--ISNUMBER(SEARCH(#REF!,H36)))))</f>
        <v>#REF!</v>
      </c>
      <c r="AT36" t="e">
        <f>IF(#REF!="",1,IF(#REF!="(blank)",--(I36=""),IF(#REF!="(nonblank)",--(I36&lt;&gt;""),--ISNUMBER(SEARCH(#REF!,I36)))))</f>
        <v>#REF!</v>
      </c>
      <c r="AU36" t="e">
        <f>IF(#REF!="",1,IF(#REF!="(blank)",--(J36=""),IF(#REF!="(nonblank)",--(J36&lt;&gt;""),--ISNUMBER(SEARCH(#REF!,J36)))))</f>
        <v>#REF!</v>
      </c>
      <c r="AV36" t="e">
        <f>IF(#REF!="",1,IF(#REF!="(blank)",--(K36=""),IF(#REF!="(nonblank)",--(K36&lt;&gt;""),--ISNUMBER(SEARCH(#REF!,K36)))))</f>
        <v>#REF!</v>
      </c>
      <c r="AW36" t="e">
        <f>IF(#REF!="",1,IF(#REF!="(blank)",--(L36=""),IF(#REF!="(nonblank)",--(L36&lt;&gt;""),--ISNUMBER(SEARCH(#REF!,L36)))))</f>
        <v>#REF!</v>
      </c>
      <c r="AX36" t="e">
        <f>IF(#REF!="",1,IF(#REF!="(blank)",--(M36=""),IF(#REF!="(nonblank)",--(M36&lt;&gt;""),--ISNUMBER(SEARCH(#REF!,M36)))))</f>
        <v>#REF!</v>
      </c>
      <c r="AY36" t="e">
        <f>IF(#REF!="",1,IF(#REF!="(blank)",--(N36=""),IF(#REF!="(nonblank)",--(N36&lt;&gt;""),--ISNUMBER(SEARCH(#REF!,N36)))))</f>
        <v>#REF!</v>
      </c>
      <c r="AZ36" t="e">
        <f>IF(#REF!="",1,IF(#REF!="(blank)",--(O36=""),IF(#REF!="(nonblank)",--(O36&lt;&gt;""),--ISNUMBER(SEARCH(#REF!,O36)))))</f>
        <v>#REF!</v>
      </c>
      <c r="BA36" t="e">
        <f>IF(#REF!="",1,IF(#REF!="(blank)",--(P36=""),IF(#REF!="(nonblank)",--(P36&lt;&gt;""),--ISNUMBER(SEARCH(#REF!,P36)))))</f>
        <v>#REF!</v>
      </c>
      <c r="BB36" t="e">
        <f>IF(#REF!="",1,IF(#REF!="(blank)",--(Q36=""),IF(#REF!="(nonblank)",--(Q36&lt;&gt;""),--ISNUMBER(SEARCH(#REF!,Q36)))))</f>
        <v>#REF!</v>
      </c>
      <c r="BC36" t="e">
        <f>IF(#REF!="",1,IF(#REF!="(blank)",--(R36=""),IF(#REF!="(nonblank)",--(R36&lt;&gt;""),--ISNUMBER(SEARCH(#REF!,R36)))))</f>
        <v>#REF!</v>
      </c>
      <c r="BD36" t="e">
        <f>IF(#REF!="",1,IF(#REF!="(blank)",--(S36=""),IF(#REF!="(nonblank)",--(S36&lt;&gt;""),--ISNUMBER(SEARCH(#REF!,S36)))))</f>
        <v>#REF!</v>
      </c>
      <c r="BE36" t="e">
        <f>IF(#REF!="",1,IF(#REF!="(blank)",--(T36=""),IF(#REF!="(nonblank)",--(T36&lt;&gt;""),--ISNUMBER(SEARCH(#REF!,T36)))))</f>
        <v>#REF!</v>
      </c>
      <c r="BF36" t="e">
        <f>IF(#REF!="",1,IF(#REF!="(blank)",--(U36=""),IF(#REF!="(nonblank)",--(U36&lt;&gt;""),--ISNUMBER(SEARCH(#REF!,U36)))))</f>
        <v>#REF!</v>
      </c>
      <c r="BG36" t="e">
        <f>IF(#REF!="",1,IF(#REF!="(blank)",--(V36=""),IF(#REF!="(nonblank)",--(V36&lt;&gt;""),--ISNUMBER(SEARCH(#REF!,V36)))))</f>
        <v>#REF!</v>
      </c>
      <c r="BH36" t="e">
        <f>IF(#REF!="",1,IF(#REF!="(blank)",--(W36=""),IF(#REF!="(nonblank)",--(W36&lt;&gt;""),--ISNUMBER(SEARCH(#REF!,W36)))))</f>
        <v>#REF!</v>
      </c>
      <c r="BI36" t="e">
        <f>IF(#REF!="",1,IF(#REF!="(blank)",--(X36=""),IF(#REF!="(nonblank)",--(X36&lt;&gt;""),--ISNUMBER(SEARCH(#REF!,X36)))))</f>
        <v>#REF!</v>
      </c>
      <c r="BJ36" t="e">
        <f>IF(#REF!="",1,IF(#REF!="(blank)",--(Y36=""),IF(#REF!="(nonblank)",--(Y36&lt;&gt;""),--ISNUMBER(SEARCH(#REF!,Y36)))))</f>
        <v>#REF!</v>
      </c>
      <c r="BK36" t="e">
        <f>IF(#REF!="",1,IF(#REF!="(blank)",--(Z36=""),IF(#REF!="(nonblank)",--(Z36&lt;&gt;""),--ISNUMBER(SEARCH(#REF!,Z36)))))</f>
        <v>#REF!</v>
      </c>
      <c r="BL36" t="e">
        <f>IF(#REF!="",1,IF(#REF!="(blank)",--(AA36=""),IF(#REF!="(nonblank)",--(AA36&lt;&gt;""),--ISNUMBER(SEARCH(#REF!,AA36)))))</f>
        <v>#REF!</v>
      </c>
      <c r="BM36" t="e">
        <f>IF(#REF!="",1,IF(#REF!="(blank)",--(AB36=""),IF(#REF!="(nonblank)",--(AB36&lt;&gt;""),--ISNUMBER(SEARCH(#REF!,AB36)))))</f>
        <v>#REF!</v>
      </c>
      <c r="BN36" t="e">
        <f>IF(#REF!="",1,IF(#REF!="(blank)",--(AC36=""),IF(#REF!="(nonblank)",--(AC36&lt;&gt;""),--ISNUMBER(SEARCH(#REF!,AC36)))))</f>
        <v>#REF!</v>
      </c>
      <c r="BO36" t="e">
        <f>IF(#REF!="",1,IF(#REF!="(blank)",--(AD36=""),IF(#REF!="(nonblank)",--(AD36&lt;&gt;""),--ISNUMBER(SEARCH(#REF!,AD36)))))</f>
        <v>#REF!</v>
      </c>
      <c r="BP36" t="e">
        <f>IF(#REF!="",1,IF(#REF!="(blank)",--(AE36=""),IF(#REF!="(nonblank)",--(AE36&lt;&gt;""),--ISNUMBER(SEARCH(#REF!,AE36)))))</f>
        <v>#REF!</v>
      </c>
      <c r="BQ36" t="e">
        <f>IF(#REF!="",1,IF(#REF!="(blank)",--(AF36=""),IF(#REF!="(nonblank)",--(AF36&lt;&gt;""),--ISNUMBER(SEARCH(#REF!,AF36)))))</f>
        <v>#REF!</v>
      </c>
      <c r="BR36" t="e">
        <f>IF(#REF!="",1,IF(#REF!="(blank)",--(AG36=""),IF(#REF!="(nonblank)",--(AG36&lt;&gt;""),--ISNUMBER(SEARCH(#REF!,AG36)))))</f>
        <v>#REF!</v>
      </c>
      <c r="BS36" t="e">
        <f>IF(#REF!="",1,IF(#REF!="(blank)",--(AH36=""),IF(#REF!="(nonblank)",--(AH36&lt;&gt;""),--ISNUMBER(SEARCH(#REF!,AH36)))))</f>
        <v>#REF!</v>
      </c>
      <c r="BT36">
        <f t="shared" si="16"/>
        <v>1</v>
      </c>
    </row>
    <row r="37" spans="1:72" ht="14.25" customHeight="1" x14ac:dyDescent="0.3">
      <c r="A37" s="19">
        <v>2</v>
      </c>
      <c r="B37" s="20" t="s">
        <v>116</v>
      </c>
      <c r="C37" s="21">
        <v>15006</v>
      </c>
      <c r="D37" s="22">
        <v>21980</v>
      </c>
      <c r="E37" s="22" t="s">
        <v>38</v>
      </c>
      <c r="F37" s="22">
        <v>2089</v>
      </c>
      <c r="G37" s="20" t="s">
        <v>117</v>
      </c>
      <c r="H37" s="23">
        <v>30012</v>
      </c>
      <c r="I37" s="23">
        <f t="shared" si="0"/>
        <v>5402</v>
      </c>
      <c r="J37" s="23">
        <f t="shared" si="1"/>
        <v>35414</v>
      </c>
      <c r="K37" s="23">
        <f t="shared" si="2"/>
        <v>708</v>
      </c>
      <c r="L37" s="24">
        <f t="shared" si="3"/>
        <v>30.012</v>
      </c>
      <c r="M37" s="24">
        <f t="shared" si="4"/>
        <v>796.81859999999995</v>
      </c>
      <c r="N37" s="25">
        <f t="shared" si="5"/>
        <v>13.5054</v>
      </c>
      <c r="O37" s="24">
        <f t="shared" si="6"/>
        <v>783.31319999999994</v>
      </c>
      <c r="P37" s="24">
        <f t="shared" si="7"/>
        <v>813</v>
      </c>
      <c r="Q37" s="26">
        <v>0</v>
      </c>
      <c r="R37" s="24">
        <f t="shared" si="8"/>
        <v>0</v>
      </c>
      <c r="S37" s="23">
        <f t="shared" ca="1" si="17"/>
        <v>36017</v>
      </c>
      <c r="T37" s="24">
        <f t="shared" si="10"/>
        <v>7503</v>
      </c>
      <c r="U37" s="27">
        <v>7503</v>
      </c>
      <c r="V37" s="24" t="s">
        <v>52</v>
      </c>
      <c r="W37" s="24">
        <f t="shared" si="11"/>
        <v>27806</v>
      </c>
      <c r="X37" s="24">
        <v>27806</v>
      </c>
      <c r="Y37" s="24" t="s">
        <v>118</v>
      </c>
      <c r="Z37" s="24">
        <f t="shared" ca="1" si="12"/>
        <v>708.28319999999997</v>
      </c>
      <c r="AA37" s="24">
        <v>708</v>
      </c>
      <c r="AB37" s="24" t="s">
        <v>118</v>
      </c>
      <c r="AC37" s="28">
        <f t="shared" si="13"/>
        <v>36017</v>
      </c>
      <c r="AD37" s="28">
        <f t="shared" ca="1" si="14"/>
        <v>0</v>
      </c>
      <c r="AE37" s="24" t="str">
        <f t="shared" ca="1" si="15"/>
        <v>SETTLED</v>
      </c>
      <c r="AF37" s="24"/>
      <c r="AG37" s="29"/>
      <c r="AH37" s="30"/>
      <c r="AL37" t="e">
        <f>IF(#REF!="",1,IF(#REF!="(blank)",--(A37=""),IF(#REF!="(nonblank)",--(A37&lt;&gt;""),--ISNUMBER(SEARCH(#REF!,A37)))))</f>
        <v>#REF!</v>
      </c>
      <c r="AM37" t="e">
        <f>IF(#REF!="",1,IF(#REF!="(blank)",--(B37=""),IF(#REF!="(nonblank)",--(B37&lt;&gt;""),--ISNUMBER(SEARCH(#REF!,B37)))))</f>
        <v>#REF!</v>
      </c>
      <c r="AN37" t="e">
        <f>IF(#REF!="",1,IF(#REF!="(blank)",--(C37=""),IF(#REF!="(nonblank)",--(C37&lt;&gt;""),--ISNUMBER(SEARCH(#REF!,C37)))))</f>
        <v>#REF!</v>
      </c>
      <c r="AO37" t="e">
        <f>IF(#REF!="",1,IF(#REF!="(blank)",--(D37=""),IF(#REF!="(nonblank)",--(D37&lt;&gt;""),--ISNUMBER(SEARCH(#REF!,D37)))))</f>
        <v>#REF!</v>
      </c>
      <c r="AP37" t="e">
        <f>IF(#REF!="",1,IF(#REF!="(blank)",--(E37=""),IF(#REF!="(nonblank)",--(E37&lt;&gt;""),--ISNUMBER(SEARCH(#REF!,E37)))))</f>
        <v>#REF!</v>
      </c>
      <c r="AQ37" t="e">
        <f>IF(#REF!="",1,IF(#REF!="(blank)",--(F37=""),IF(#REF!="(nonblank)",--(F37&lt;&gt;""),--ISNUMBER(SEARCH(#REF!,F37)))))</f>
        <v>#REF!</v>
      </c>
      <c r="AR37" t="e">
        <f>IF(#REF!="",1,IF(#REF!="(blank)",--(G37=""),IF(#REF!="(nonblank)",--(G37&lt;&gt;""),--ISNUMBER(SEARCH(#REF!,G37)))))</f>
        <v>#REF!</v>
      </c>
      <c r="AS37" t="e">
        <f>IF(#REF!="",1,IF(#REF!="(blank)",--(H37=""),IF(#REF!="(nonblank)",--(H37&lt;&gt;""),--ISNUMBER(SEARCH(#REF!,H37)))))</f>
        <v>#REF!</v>
      </c>
      <c r="AT37" t="e">
        <f>IF(#REF!="",1,IF(#REF!="(blank)",--(I37=""),IF(#REF!="(nonblank)",--(I37&lt;&gt;""),--ISNUMBER(SEARCH(#REF!,I37)))))</f>
        <v>#REF!</v>
      </c>
      <c r="AU37" t="e">
        <f>IF(#REF!="",1,IF(#REF!="(blank)",--(J37=""),IF(#REF!="(nonblank)",--(J37&lt;&gt;""),--ISNUMBER(SEARCH(#REF!,J37)))))</f>
        <v>#REF!</v>
      </c>
      <c r="AV37" t="e">
        <f>IF(#REF!="",1,IF(#REF!="(blank)",--(K37=""),IF(#REF!="(nonblank)",--(K37&lt;&gt;""),--ISNUMBER(SEARCH(#REF!,K37)))))</f>
        <v>#REF!</v>
      </c>
      <c r="AW37" t="e">
        <f>IF(#REF!="",1,IF(#REF!="(blank)",--(L37=""),IF(#REF!="(nonblank)",--(L37&lt;&gt;""),--ISNUMBER(SEARCH(#REF!,L37)))))</f>
        <v>#REF!</v>
      </c>
      <c r="AX37" t="e">
        <f>IF(#REF!="",1,IF(#REF!="(blank)",--(M37=""),IF(#REF!="(nonblank)",--(M37&lt;&gt;""),--ISNUMBER(SEARCH(#REF!,M37)))))</f>
        <v>#REF!</v>
      </c>
      <c r="AY37" t="e">
        <f>IF(#REF!="",1,IF(#REF!="(blank)",--(N37=""),IF(#REF!="(nonblank)",--(N37&lt;&gt;""),--ISNUMBER(SEARCH(#REF!,N37)))))</f>
        <v>#REF!</v>
      </c>
      <c r="AZ37" t="e">
        <f>IF(#REF!="",1,IF(#REF!="(blank)",--(O37=""),IF(#REF!="(nonblank)",--(O37&lt;&gt;""),--ISNUMBER(SEARCH(#REF!,O37)))))</f>
        <v>#REF!</v>
      </c>
      <c r="BA37" t="e">
        <f>IF(#REF!="",1,IF(#REF!="(blank)",--(P37=""),IF(#REF!="(nonblank)",--(P37&lt;&gt;""),--ISNUMBER(SEARCH(#REF!,P37)))))</f>
        <v>#REF!</v>
      </c>
      <c r="BB37" t="e">
        <f>IF(#REF!="",1,IF(#REF!="(blank)",--(Q37=""),IF(#REF!="(nonblank)",--(Q37&lt;&gt;""),--ISNUMBER(SEARCH(#REF!,Q37)))))</f>
        <v>#REF!</v>
      </c>
      <c r="BC37" t="e">
        <f>IF(#REF!="",1,IF(#REF!="(blank)",--(R37=""),IF(#REF!="(nonblank)",--(R37&lt;&gt;""),--ISNUMBER(SEARCH(#REF!,R37)))))</f>
        <v>#REF!</v>
      </c>
      <c r="BD37" t="e">
        <f>IF(#REF!="",1,IF(#REF!="(blank)",--(S37=""),IF(#REF!="(nonblank)",--(S37&lt;&gt;""),--ISNUMBER(SEARCH(#REF!,S37)))))</f>
        <v>#REF!</v>
      </c>
      <c r="BE37" t="e">
        <f>IF(#REF!="",1,IF(#REF!="(blank)",--(T37=""),IF(#REF!="(nonblank)",--(T37&lt;&gt;""),--ISNUMBER(SEARCH(#REF!,T37)))))</f>
        <v>#REF!</v>
      </c>
      <c r="BF37" t="e">
        <f>IF(#REF!="",1,IF(#REF!="(blank)",--(U37=""),IF(#REF!="(nonblank)",--(U37&lt;&gt;""),--ISNUMBER(SEARCH(#REF!,U37)))))</f>
        <v>#REF!</v>
      </c>
      <c r="BG37" t="e">
        <f>IF(#REF!="",1,IF(#REF!="(blank)",--(V37=""),IF(#REF!="(nonblank)",--(V37&lt;&gt;""),--ISNUMBER(SEARCH(#REF!,V37)))))</f>
        <v>#REF!</v>
      </c>
      <c r="BH37" t="e">
        <f>IF(#REF!="",1,IF(#REF!="(blank)",--(W37=""),IF(#REF!="(nonblank)",--(W37&lt;&gt;""),--ISNUMBER(SEARCH(#REF!,W37)))))</f>
        <v>#REF!</v>
      </c>
      <c r="BI37" t="e">
        <f>IF(#REF!="",1,IF(#REF!="(blank)",--(X37=""),IF(#REF!="(nonblank)",--(X37&lt;&gt;""),--ISNUMBER(SEARCH(#REF!,X37)))))</f>
        <v>#REF!</v>
      </c>
      <c r="BJ37" t="e">
        <f>IF(#REF!="",1,IF(#REF!="(blank)",--(Y37=""),IF(#REF!="(nonblank)",--(Y37&lt;&gt;""),--ISNUMBER(SEARCH(#REF!,Y37)))))</f>
        <v>#REF!</v>
      </c>
      <c r="BK37" t="e">
        <f>IF(#REF!="",1,IF(#REF!="(blank)",--(Z37=""),IF(#REF!="(nonblank)",--(Z37&lt;&gt;""),--ISNUMBER(SEARCH(#REF!,Z37)))))</f>
        <v>#REF!</v>
      </c>
      <c r="BL37" t="e">
        <f>IF(#REF!="",1,IF(#REF!="(blank)",--(AA37=""),IF(#REF!="(nonblank)",--(AA37&lt;&gt;""),--ISNUMBER(SEARCH(#REF!,AA37)))))</f>
        <v>#REF!</v>
      </c>
      <c r="BM37" t="e">
        <f>IF(#REF!="",1,IF(#REF!="(blank)",--(AB37=""),IF(#REF!="(nonblank)",--(AB37&lt;&gt;""),--ISNUMBER(SEARCH(#REF!,AB37)))))</f>
        <v>#REF!</v>
      </c>
      <c r="BN37" t="e">
        <f>IF(#REF!="",1,IF(#REF!="(blank)",--(AC37=""),IF(#REF!="(nonblank)",--(AC37&lt;&gt;""),--ISNUMBER(SEARCH(#REF!,AC37)))))</f>
        <v>#REF!</v>
      </c>
      <c r="BO37" t="e">
        <f>IF(#REF!="",1,IF(#REF!="(blank)",--(AD37=""),IF(#REF!="(nonblank)",--(AD37&lt;&gt;""),--ISNUMBER(SEARCH(#REF!,AD37)))))</f>
        <v>#REF!</v>
      </c>
      <c r="BP37" t="e">
        <f>IF(#REF!="",1,IF(#REF!="(blank)",--(AE37=""),IF(#REF!="(nonblank)",--(AE37&lt;&gt;""),--ISNUMBER(SEARCH(#REF!,AE37)))))</f>
        <v>#REF!</v>
      </c>
      <c r="BQ37" t="e">
        <f>IF(#REF!="",1,IF(#REF!="(blank)",--(AF37=""),IF(#REF!="(nonblank)",--(AF37&lt;&gt;""),--ISNUMBER(SEARCH(#REF!,AF37)))))</f>
        <v>#REF!</v>
      </c>
      <c r="BR37" t="e">
        <f>IF(#REF!="",1,IF(#REF!="(blank)",--(AG37=""),IF(#REF!="(nonblank)",--(AG37&lt;&gt;""),--ISNUMBER(SEARCH(#REF!,AG37)))))</f>
        <v>#REF!</v>
      </c>
      <c r="BS37" t="e">
        <f>IF(#REF!="",1,IF(#REF!="(blank)",--(AH37=""),IF(#REF!="(nonblank)",--(AH37&lt;&gt;""),--ISNUMBER(SEARCH(#REF!,AH37)))))</f>
        <v>#REF!</v>
      </c>
      <c r="BT37">
        <f t="shared" si="16"/>
        <v>1</v>
      </c>
    </row>
    <row r="38" spans="1:72" ht="15" customHeight="1" thickBot="1" x14ac:dyDescent="0.35">
      <c r="A38" s="40">
        <v>3</v>
      </c>
      <c r="B38" s="41" t="s">
        <v>58</v>
      </c>
      <c r="C38" s="42">
        <v>40003</v>
      </c>
      <c r="D38" s="43">
        <v>21980</v>
      </c>
      <c r="E38" s="43" t="s">
        <v>38</v>
      </c>
      <c r="F38" s="43">
        <v>2091</v>
      </c>
      <c r="G38" s="41" t="s">
        <v>117</v>
      </c>
      <c r="H38" s="44">
        <v>120009</v>
      </c>
      <c r="I38" s="44">
        <f t="shared" si="0"/>
        <v>21602</v>
      </c>
      <c r="J38" s="44">
        <f t="shared" si="1"/>
        <v>141611</v>
      </c>
      <c r="K38" s="44">
        <f t="shared" si="2"/>
        <v>2832</v>
      </c>
      <c r="L38" s="45">
        <f t="shared" si="3"/>
        <v>120.009</v>
      </c>
      <c r="M38" s="45">
        <f t="shared" si="4"/>
        <v>3186.2389499999995</v>
      </c>
      <c r="N38" s="46">
        <f t="shared" si="5"/>
        <v>54.004049999999999</v>
      </c>
      <c r="O38" s="45">
        <f t="shared" si="6"/>
        <v>3132.2348999999995</v>
      </c>
      <c r="P38" s="45">
        <f t="shared" si="7"/>
        <v>3252</v>
      </c>
      <c r="Q38" s="47">
        <v>0</v>
      </c>
      <c r="R38" s="45">
        <f t="shared" si="8"/>
        <v>0</v>
      </c>
      <c r="S38" s="23">
        <f t="shared" ca="1" si="17"/>
        <v>144023</v>
      </c>
      <c r="T38" s="45">
        <f t="shared" si="10"/>
        <v>30002</v>
      </c>
      <c r="U38" s="48">
        <v>30002</v>
      </c>
      <c r="V38" s="45" t="s">
        <v>52</v>
      </c>
      <c r="W38" s="45">
        <f t="shared" si="11"/>
        <v>111188</v>
      </c>
      <c r="X38" s="45">
        <v>111189</v>
      </c>
      <c r="Y38" s="45" t="s">
        <v>118</v>
      </c>
      <c r="Z38" s="45">
        <f t="shared" ca="1" si="12"/>
        <v>2832.2123999999999</v>
      </c>
      <c r="AA38" s="45">
        <v>2832</v>
      </c>
      <c r="AB38" s="45" t="s">
        <v>118</v>
      </c>
      <c r="AC38" s="11">
        <f t="shared" si="13"/>
        <v>144023</v>
      </c>
      <c r="AD38" s="15">
        <f t="shared" ca="1" si="14"/>
        <v>0</v>
      </c>
      <c r="AE38" s="16" t="str">
        <f t="shared" ca="1" si="15"/>
        <v>SETTLED</v>
      </c>
      <c r="AF38" s="16"/>
      <c r="AG38" s="17"/>
      <c r="AH38" s="18"/>
      <c r="AL38" t="e">
        <f>IF(#REF!="",1,IF(#REF!="(blank)",--(A38=""),IF(#REF!="(nonblank)",--(A38&lt;&gt;""),--ISNUMBER(SEARCH(#REF!,A38)))))</f>
        <v>#REF!</v>
      </c>
      <c r="AM38" t="e">
        <f>IF(#REF!="",1,IF(#REF!="(blank)",--(B38=""),IF(#REF!="(nonblank)",--(B38&lt;&gt;""),--ISNUMBER(SEARCH(#REF!,B38)))))</f>
        <v>#REF!</v>
      </c>
      <c r="AN38" t="e">
        <f>IF(#REF!="",1,IF(#REF!="(blank)",--(C38=""),IF(#REF!="(nonblank)",--(C38&lt;&gt;""),--ISNUMBER(SEARCH(#REF!,C38)))))</f>
        <v>#REF!</v>
      </c>
      <c r="AO38" t="e">
        <f>IF(#REF!="",1,IF(#REF!="(blank)",--(D38=""),IF(#REF!="(nonblank)",--(D38&lt;&gt;""),--ISNUMBER(SEARCH(#REF!,D38)))))</f>
        <v>#REF!</v>
      </c>
      <c r="AP38" t="e">
        <f>IF(#REF!="",1,IF(#REF!="(blank)",--(E38=""),IF(#REF!="(nonblank)",--(E38&lt;&gt;""),--ISNUMBER(SEARCH(#REF!,E38)))))</f>
        <v>#REF!</v>
      </c>
      <c r="AQ38" t="e">
        <f>IF(#REF!="",1,IF(#REF!="(blank)",--(F38=""),IF(#REF!="(nonblank)",--(F38&lt;&gt;""),--ISNUMBER(SEARCH(#REF!,F38)))))</f>
        <v>#REF!</v>
      </c>
      <c r="AR38" t="e">
        <f>IF(#REF!="",1,IF(#REF!="(blank)",--(G38=""),IF(#REF!="(nonblank)",--(G38&lt;&gt;""),--ISNUMBER(SEARCH(#REF!,G38)))))</f>
        <v>#REF!</v>
      </c>
      <c r="AS38" t="e">
        <f>IF(#REF!="",1,IF(#REF!="(blank)",--(H38=""),IF(#REF!="(nonblank)",--(H38&lt;&gt;""),--ISNUMBER(SEARCH(#REF!,H38)))))</f>
        <v>#REF!</v>
      </c>
      <c r="AT38" t="e">
        <f>IF(#REF!="",1,IF(#REF!="(blank)",--(I38=""),IF(#REF!="(nonblank)",--(I38&lt;&gt;""),--ISNUMBER(SEARCH(#REF!,I38)))))</f>
        <v>#REF!</v>
      </c>
      <c r="AU38" t="e">
        <f>IF(#REF!="",1,IF(#REF!="(blank)",--(J38=""),IF(#REF!="(nonblank)",--(J38&lt;&gt;""),--ISNUMBER(SEARCH(#REF!,J38)))))</f>
        <v>#REF!</v>
      </c>
      <c r="AV38" t="e">
        <f>IF(#REF!="",1,IF(#REF!="(blank)",--(K38=""),IF(#REF!="(nonblank)",--(K38&lt;&gt;""),--ISNUMBER(SEARCH(#REF!,K38)))))</f>
        <v>#REF!</v>
      </c>
      <c r="AW38" t="e">
        <f>IF(#REF!="",1,IF(#REF!="(blank)",--(L38=""),IF(#REF!="(nonblank)",--(L38&lt;&gt;""),--ISNUMBER(SEARCH(#REF!,L38)))))</f>
        <v>#REF!</v>
      </c>
      <c r="AX38" t="e">
        <f>IF(#REF!="",1,IF(#REF!="(blank)",--(M38=""),IF(#REF!="(nonblank)",--(M38&lt;&gt;""),--ISNUMBER(SEARCH(#REF!,M38)))))</f>
        <v>#REF!</v>
      </c>
      <c r="AY38" t="e">
        <f>IF(#REF!="",1,IF(#REF!="(blank)",--(N38=""),IF(#REF!="(nonblank)",--(N38&lt;&gt;""),--ISNUMBER(SEARCH(#REF!,N38)))))</f>
        <v>#REF!</v>
      </c>
      <c r="AZ38" t="e">
        <f>IF(#REF!="",1,IF(#REF!="(blank)",--(O38=""),IF(#REF!="(nonblank)",--(O38&lt;&gt;""),--ISNUMBER(SEARCH(#REF!,O38)))))</f>
        <v>#REF!</v>
      </c>
      <c r="BA38" t="e">
        <f>IF(#REF!="",1,IF(#REF!="(blank)",--(P38=""),IF(#REF!="(nonblank)",--(P38&lt;&gt;""),--ISNUMBER(SEARCH(#REF!,P38)))))</f>
        <v>#REF!</v>
      </c>
      <c r="BB38" t="e">
        <f>IF(#REF!="",1,IF(#REF!="(blank)",--(Q38=""),IF(#REF!="(nonblank)",--(Q38&lt;&gt;""),--ISNUMBER(SEARCH(#REF!,Q38)))))</f>
        <v>#REF!</v>
      </c>
      <c r="BC38" t="e">
        <f>IF(#REF!="",1,IF(#REF!="(blank)",--(R38=""),IF(#REF!="(nonblank)",--(R38&lt;&gt;""),--ISNUMBER(SEARCH(#REF!,R38)))))</f>
        <v>#REF!</v>
      </c>
      <c r="BD38" t="e">
        <f>IF(#REF!="",1,IF(#REF!="(blank)",--(S38=""),IF(#REF!="(nonblank)",--(S38&lt;&gt;""),--ISNUMBER(SEARCH(#REF!,S38)))))</f>
        <v>#REF!</v>
      </c>
      <c r="BE38" t="e">
        <f>IF(#REF!="",1,IF(#REF!="(blank)",--(T38=""),IF(#REF!="(nonblank)",--(T38&lt;&gt;""),--ISNUMBER(SEARCH(#REF!,T38)))))</f>
        <v>#REF!</v>
      </c>
      <c r="BF38" t="e">
        <f>IF(#REF!="",1,IF(#REF!="(blank)",--(U38=""),IF(#REF!="(nonblank)",--(U38&lt;&gt;""),--ISNUMBER(SEARCH(#REF!,U38)))))</f>
        <v>#REF!</v>
      </c>
      <c r="BG38" t="e">
        <f>IF(#REF!="",1,IF(#REF!="(blank)",--(V38=""),IF(#REF!="(nonblank)",--(V38&lt;&gt;""),--ISNUMBER(SEARCH(#REF!,V38)))))</f>
        <v>#REF!</v>
      </c>
      <c r="BH38" t="e">
        <f>IF(#REF!="",1,IF(#REF!="(blank)",--(W38=""),IF(#REF!="(nonblank)",--(W38&lt;&gt;""),--ISNUMBER(SEARCH(#REF!,W38)))))</f>
        <v>#REF!</v>
      </c>
      <c r="BI38" t="e">
        <f>IF(#REF!="",1,IF(#REF!="(blank)",--(X38=""),IF(#REF!="(nonblank)",--(X38&lt;&gt;""),--ISNUMBER(SEARCH(#REF!,X38)))))</f>
        <v>#REF!</v>
      </c>
      <c r="BJ38" t="e">
        <f>IF(#REF!="",1,IF(#REF!="(blank)",--(Y38=""),IF(#REF!="(nonblank)",--(Y38&lt;&gt;""),--ISNUMBER(SEARCH(#REF!,Y38)))))</f>
        <v>#REF!</v>
      </c>
      <c r="BK38" t="e">
        <f>IF(#REF!="",1,IF(#REF!="(blank)",--(Z38=""),IF(#REF!="(nonblank)",--(Z38&lt;&gt;""),--ISNUMBER(SEARCH(#REF!,Z38)))))</f>
        <v>#REF!</v>
      </c>
      <c r="BL38" t="e">
        <f>IF(#REF!="",1,IF(#REF!="(blank)",--(AA38=""),IF(#REF!="(nonblank)",--(AA38&lt;&gt;""),--ISNUMBER(SEARCH(#REF!,AA38)))))</f>
        <v>#REF!</v>
      </c>
      <c r="BM38" t="e">
        <f>IF(#REF!="",1,IF(#REF!="(blank)",--(AB38=""),IF(#REF!="(nonblank)",--(AB38&lt;&gt;""),--ISNUMBER(SEARCH(#REF!,AB38)))))</f>
        <v>#REF!</v>
      </c>
      <c r="BN38" t="e">
        <f>IF(#REF!="",1,IF(#REF!="(blank)",--(AC38=""),IF(#REF!="(nonblank)",--(AC38&lt;&gt;""),--ISNUMBER(SEARCH(#REF!,AC38)))))</f>
        <v>#REF!</v>
      </c>
      <c r="BO38" t="e">
        <f>IF(#REF!="",1,IF(#REF!="(blank)",--(AD38=""),IF(#REF!="(nonblank)",--(AD38&lt;&gt;""),--ISNUMBER(SEARCH(#REF!,AD38)))))</f>
        <v>#REF!</v>
      </c>
      <c r="BP38" t="e">
        <f>IF(#REF!="",1,IF(#REF!="(blank)",--(AE38=""),IF(#REF!="(nonblank)",--(AE38&lt;&gt;""),--ISNUMBER(SEARCH(#REF!,AE38)))))</f>
        <v>#REF!</v>
      </c>
      <c r="BQ38" t="e">
        <f>IF(#REF!="",1,IF(#REF!="(blank)",--(AF38=""),IF(#REF!="(nonblank)",--(AF38&lt;&gt;""),--ISNUMBER(SEARCH(#REF!,AF38)))))</f>
        <v>#REF!</v>
      </c>
      <c r="BR38" t="e">
        <f>IF(#REF!="",1,IF(#REF!="(blank)",--(AG38=""),IF(#REF!="(nonblank)",--(AG38&lt;&gt;""),--ISNUMBER(SEARCH(#REF!,AG38)))))</f>
        <v>#REF!</v>
      </c>
      <c r="BS38" t="e">
        <f>IF(#REF!="",1,IF(#REF!="(blank)",--(AH38=""),IF(#REF!="(nonblank)",--(AH38&lt;&gt;""),--ISNUMBER(SEARCH(#REF!,AH38)))))</f>
        <v>#REF!</v>
      </c>
      <c r="BT38">
        <f t="shared" si="16"/>
        <v>1</v>
      </c>
    </row>
    <row r="39" spans="1:72" ht="14.25" customHeight="1" x14ac:dyDescent="0.3">
      <c r="A39" s="49"/>
      <c r="B39" s="50"/>
      <c r="C39" s="50"/>
      <c r="D39" s="50"/>
      <c r="E39" s="50"/>
      <c r="F39" s="50"/>
      <c r="G39" s="50"/>
      <c r="H39" s="51">
        <f t="shared" ref="H39:P39" si="18">SUM(H2:H38)</f>
        <v>15130598</v>
      </c>
      <c r="I39" s="51">
        <f t="shared" si="18"/>
        <v>2723508</v>
      </c>
      <c r="J39" s="51">
        <f t="shared" si="18"/>
        <v>17854106</v>
      </c>
      <c r="K39" s="51">
        <f t="shared" si="18"/>
        <v>357082</v>
      </c>
      <c r="L39" s="51">
        <f t="shared" si="18"/>
        <v>15130.598000000002</v>
      </c>
      <c r="M39" s="51">
        <f t="shared" si="18"/>
        <v>401717.37689999992</v>
      </c>
      <c r="N39" s="51">
        <f t="shared" si="18"/>
        <v>6808.7690999999977</v>
      </c>
      <c r="O39" s="51">
        <f t="shared" si="18"/>
        <v>394908.6078</v>
      </c>
      <c r="P39" s="51">
        <f t="shared" si="18"/>
        <v>410039</v>
      </c>
      <c r="Q39" s="52"/>
      <c r="R39" s="52">
        <f>SUM(R2:R38)</f>
        <v>83029</v>
      </c>
      <c r="S39" s="51">
        <f ca="1">SUM(S2:S38)</f>
        <v>17746099</v>
      </c>
      <c r="T39" s="51">
        <f>SUM(T2:T38)</f>
        <v>3782654</v>
      </c>
      <c r="U39" s="51">
        <f>SUM(U2:U38)</f>
        <v>3782654</v>
      </c>
      <c r="V39" s="52"/>
      <c r="W39" s="51">
        <f>SUM(W2:W38)</f>
        <v>13935473</v>
      </c>
      <c r="X39" s="51">
        <f>SUM(X2:X38)</f>
        <v>13646312</v>
      </c>
      <c r="Y39" s="52"/>
      <c r="Z39" s="52">
        <f ca="1">SUM(Z2:Z38)</f>
        <v>27976.148000000001</v>
      </c>
      <c r="AA39" s="52">
        <f>SUM(AA2:AA38)</f>
        <v>16506</v>
      </c>
      <c r="AB39" s="52"/>
      <c r="AC39" s="52">
        <f>SUM(AC2:AC38)</f>
        <v>17445472</v>
      </c>
      <c r="AD39" s="51">
        <f ca="1">SUM(AD2:AD38)</f>
        <v>300627.00000000047</v>
      </c>
      <c r="AE39" s="51" t="str">
        <f t="shared" ca="1" si="15"/>
        <v>OUTSTANDING</v>
      </c>
      <c r="AF39" s="50"/>
      <c r="AG39" s="50"/>
      <c r="AH39" s="53"/>
    </row>
    <row r="40" spans="1:72" ht="15" customHeight="1" thickBot="1" x14ac:dyDescent="0.35">
      <c r="A40" s="54"/>
      <c r="B40" s="55"/>
      <c r="C40" s="55"/>
      <c r="D40" s="55"/>
      <c r="E40" s="55"/>
      <c r="F40" s="55"/>
      <c r="G40" s="55"/>
      <c r="H40" s="56">
        <f>+H39</f>
        <v>15130598</v>
      </c>
      <c r="I40" s="56">
        <f>ROUND(H40*18%,0)</f>
        <v>2723508</v>
      </c>
      <c r="J40" s="56">
        <f>+H40+I40</f>
        <v>17854106</v>
      </c>
      <c r="K40" s="56">
        <f>ROUND((H40+I40)*2%,0)</f>
        <v>357082</v>
      </c>
      <c r="L40" s="57">
        <f>ROUND(H40*0.1%,0)</f>
        <v>15131</v>
      </c>
      <c r="M40" s="57">
        <f>ROUND(H40*2.25%*118%,0)</f>
        <v>401717</v>
      </c>
      <c r="N40" s="58">
        <f>ROUND(H40*2.25%*2%,0)</f>
        <v>6809</v>
      </c>
      <c r="O40" s="57">
        <f>ROUND(M40-N40,0)</f>
        <v>394908</v>
      </c>
      <c r="P40" s="57">
        <f>ROUND(O40+L40,0)</f>
        <v>410039</v>
      </c>
      <c r="Q40" s="57"/>
      <c r="R40" s="57">
        <f>+R39</f>
        <v>83029</v>
      </c>
      <c r="S40" s="56">
        <f>H40*117.65%-R40</f>
        <v>17718119.547000002</v>
      </c>
      <c r="T40" s="59"/>
      <c r="U40" s="59">
        <f>+T39-U39</f>
        <v>0</v>
      </c>
      <c r="V40" s="60"/>
      <c r="W40" s="61"/>
      <c r="X40" s="61">
        <f>+W39-X39</f>
        <v>289161</v>
      </c>
      <c r="Y40" s="60"/>
      <c r="Z40" s="60"/>
      <c r="AA40" s="60"/>
      <c r="AB40" s="60"/>
      <c r="AC40" s="60"/>
      <c r="AD40" s="60"/>
      <c r="AE40" s="55"/>
      <c r="AF40" s="55"/>
      <c r="AG40" s="55"/>
      <c r="AH40" s="62"/>
    </row>
    <row r="41" spans="1:72" ht="14.25" customHeight="1" x14ac:dyDescent="0.3">
      <c r="I41" s="63"/>
      <c r="J41" s="63"/>
      <c r="U41" s="65" t="s">
        <v>119</v>
      </c>
      <c r="X41" s="67" t="s">
        <v>120</v>
      </c>
    </row>
    <row r="42" spans="1:72" ht="14.25" customHeight="1" x14ac:dyDescent="0.3">
      <c r="U42" s="68"/>
    </row>
    <row r="44" spans="1:72" ht="14.25" customHeight="1" x14ac:dyDescent="0.3">
      <c r="K44" s="63"/>
    </row>
  </sheetData>
  <autoFilter ref="A1:AH41" xr:uid="{00000000-0009-0000-0000-000000000000}">
    <sortState xmlns:xlrd2="http://schemas.microsoft.com/office/spreadsheetml/2017/richdata2" ref="A2:AG41">
      <sortCondition ref="A2:A41"/>
    </sortState>
  </autoFilter>
  <conditionalFormatting sqref="AD2:AD39">
    <cfRule type="cellIs" dxfId="38" priority="39" operator="greaterThan">
      <formula>5</formula>
    </cfRule>
  </conditionalFormatting>
  <conditionalFormatting sqref="AE2:AE39">
    <cfRule type="cellIs" dxfId="37" priority="37" operator="equal">
      <formula>"SETTLED"</formula>
    </cfRule>
    <cfRule type="cellIs" dxfId="36" priority="38" operator="equal">
      <formula>"OUTSTANDING"</formula>
    </cfRule>
  </conditionalFormatting>
  <conditionalFormatting sqref="A2:A38">
    <cfRule type="expression" dxfId="35" priority="40">
      <formula>AND(#REF!&lt;&gt;"",$AL2=1)</formula>
    </cfRule>
  </conditionalFormatting>
  <conditionalFormatting sqref="A2:AH38">
    <cfRule type="expression" dxfId="34" priority="41">
      <formula>AND(COUNTIF(#REF!,"&lt;&gt;")&gt;0,$BT2=0)</formula>
    </cfRule>
  </conditionalFormatting>
  <conditionalFormatting sqref="B2:B38">
    <cfRule type="expression" dxfId="33" priority="42">
      <formula>AND(#REF!&lt;&gt;"",$AM2=1)</formula>
    </cfRule>
  </conditionalFormatting>
  <conditionalFormatting sqref="C2:C38">
    <cfRule type="expression" dxfId="32" priority="43">
      <formula>AND(#REF!&lt;&gt;"",$AN2=1)</formula>
    </cfRule>
  </conditionalFormatting>
  <conditionalFormatting sqref="D2:D38">
    <cfRule type="expression" dxfId="31" priority="44">
      <formula>AND(#REF!&lt;&gt;"",$AO2=1)</formula>
    </cfRule>
  </conditionalFormatting>
  <conditionalFormatting sqref="E2:E38">
    <cfRule type="expression" dxfId="30" priority="45">
      <formula>AND(#REF!&lt;&gt;"",$AP2=1)</formula>
    </cfRule>
  </conditionalFormatting>
  <conditionalFormatting sqref="F2:F38">
    <cfRule type="expression" dxfId="29" priority="46">
      <formula>AND(#REF!&lt;&gt;"",$AQ2=1)</formula>
    </cfRule>
  </conditionalFormatting>
  <conditionalFormatting sqref="G2:G38">
    <cfRule type="expression" dxfId="28" priority="47">
      <formula>AND(#REF!&lt;&gt;"",$AR2=1)</formula>
    </cfRule>
  </conditionalFormatting>
  <conditionalFormatting sqref="H2:H38">
    <cfRule type="expression" dxfId="27" priority="48">
      <formula>AND(#REF!&lt;&gt;"",$AS2=1)</formula>
    </cfRule>
  </conditionalFormatting>
  <conditionalFormatting sqref="I2:I38">
    <cfRule type="expression" dxfId="26" priority="49">
      <formula>AND(#REF!&lt;&gt;"",$AT2=1)</formula>
    </cfRule>
  </conditionalFormatting>
  <conditionalFormatting sqref="J2:J38">
    <cfRule type="expression" dxfId="25" priority="50">
      <formula>AND(#REF!&lt;&gt;"",$AU2=1)</formula>
    </cfRule>
  </conditionalFormatting>
  <conditionalFormatting sqref="K2:K38">
    <cfRule type="expression" dxfId="24" priority="51">
      <formula>AND(#REF!&lt;&gt;"",$AV2=1)</formula>
    </cfRule>
  </conditionalFormatting>
  <conditionalFormatting sqref="L2:L38">
    <cfRule type="expression" dxfId="23" priority="52">
      <formula>AND(#REF!&lt;&gt;"",$AW2=1)</formula>
    </cfRule>
  </conditionalFormatting>
  <conditionalFormatting sqref="M2:M38">
    <cfRule type="expression" dxfId="22" priority="53">
      <formula>AND(#REF!&lt;&gt;"",$AX2=1)</formula>
    </cfRule>
  </conditionalFormatting>
  <conditionalFormatting sqref="N2:N38">
    <cfRule type="expression" dxfId="21" priority="54">
      <formula>AND(#REF!&lt;&gt;"",$AY2=1)</formula>
    </cfRule>
  </conditionalFormatting>
  <conditionalFormatting sqref="O2:O38">
    <cfRule type="expression" dxfId="20" priority="55">
      <formula>AND(#REF!&lt;&gt;"",$AZ2=1)</formula>
    </cfRule>
  </conditionalFormatting>
  <conditionalFormatting sqref="P2:P38">
    <cfRule type="expression" dxfId="19" priority="56">
      <formula>AND(#REF!&lt;&gt;"",$BA2=1)</formula>
    </cfRule>
  </conditionalFormatting>
  <conditionalFormatting sqref="Q2:Q38">
    <cfRule type="expression" dxfId="18" priority="57">
      <formula>AND(#REF!&lt;&gt;"",$BB2=1)</formula>
    </cfRule>
  </conditionalFormatting>
  <conditionalFormatting sqref="R2:R38">
    <cfRule type="expression" dxfId="17" priority="58">
      <formula>AND(#REF!&lt;&gt;"",$BC2=1)</formula>
    </cfRule>
  </conditionalFormatting>
  <conditionalFormatting sqref="S2:S38">
    <cfRule type="expression" dxfId="16" priority="59">
      <formula>AND(#REF!&lt;&gt;"",$BD2=1)</formula>
    </cfRule>
  </conditionalFormatting>
  <conditionalFormatting sqref="T2:T38">
    <cfRule type="expression" dxfId="15" priority="60">
      <formula>AND(#REF!&lt;&gt;"",$BE2=1)</formula>
    </cfRule>
  </conditionalFormatting>
  <conditionalFormatting sqref="U2:U38">
    <cfRule type="expression" dxfId="14" priority="61">
      <formula>AND(#REF!&lt;&gt;"",$BF2=1)</formula>
    </cfRule>
  </conditionalFormatting>
  <conditionalFormatting sqref="V2:V38">
    <cfRule type="expression" dxfId="13" priority="62">
      <formula>AND(#REF!&lt;&gt;"",$BG2=1)</formula>
    </cfRule>
  </conditionalFormatting>
  <conditionalFormatting sqref="W2:W38">
    <cfRule type="expression" dxfId="12" priority="63">
      <formula>AND(#REF!&lt;&gt;"",$BH2=1)</formula>
    </cfRule>
  </conditionalFormatting>
  <conditionalFormatting sqref="X2:X38">
    <cfRule type="expression" dxfId="11" priority="64">
      <formula>AND(#REF!&lt;&gt;"",$BI2=1)</formula>
    </cfRule>
  </conditionalFormatting>
  <conditionalFormatting sqref="Y2:Y38">
    <cfRule type="expression" dxfId="10" priority="65">
      <formula>AND(#REF!&lt;&gt;"",$BJ2=1)</formula>
    </cfRule>
  </conditionalFormatting>
  <conditionalFormatting sqref="Z2:Z38">
    <cfRule type="expression" dxfId="9" priority="66">
      <formula>AND(#REF!&lt;&gt;"",$BK2=1)</formula>
    </cfRule>
  </conditionalFormatting>
  <conditionalFormatting sqref="AA2:AA38">
    <cfRule type="expression" dxfId="8" priority="67">
      <formula>AND(#REF!&lt;&gt;"",$BL2=1)</formula>
    </cfRule>
  </conditionalFormatting>
  <conditionalFormatting sqref="AB2:AB38">
    <cfRule type="expression" dxfId="7" priority="68">
      <formula>AND(#REF!&lt;&gt;"",$BM2=1)</formula>
    </cfRule>
  </conditionalFormatting>
  <conditionalFormatting sqref="AC2:AC38">
    <cfRule type="expression" dxfId="6" priority="69">
      <formula>AND(#REF!&lt;&gt;"",$BN2=1)</formula>
    </cfRule>
  </conditionalFormatting>
  <conditionalFormatting sqref="AD2:AD38">
    <cfRule type="expression" dxfId="5" priority="70">
      <formula>AND(#REF!&lt;&gt;"",$BO2=1)</formula>
    </cfRule>
  </conditionalFormatting>
  <conditionalFormatting sqref="AE2:AE38">
    <cfRule type="expression" dxfId="4" priority="71">
      <formula>AND(#REF!&lt;&gt;"",$BP2=1)</formula>
    </cfRule>
  </conditionalFormatting>
  <conditionalFormatting sqref="AF2:AF38">
    <cfRule type="expression" dxfId="3" priority="72">
      <formula>AND(#REF!&lt;&gt;"",$BQ2=1)</formula>
    </cfRule>
  </conditionalFormatting>
  <conditionalFormatting sqref="AG2:AG38">
    <cfRule type="expression" dxfId="2" priority="73">
      <formula>AND(#REF!&lt;&gt;"",$BR2=1)</formula>
    </cfRule>
  </conditionalFormatting>
  <conditionalFormatting sqref="AH2:AH38">
    <cfRule type="expression" dxfId="1" priority="74">
      <formula>AND(#REF!&lt;&gt;"",$BS2=1)</formula>
    </cfRule>
  </conditionalFormatting>
  <conditionalFormatting sqref="Z2:Z38">
    <cfRule type="expression" dxfId="0" priority="1">
      <formula>AND(#REF!&lt;&gt;"",$BL2=1)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 Calculation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Piyush Prakash Dhabekar</dc:creator>
  <cp:lastModifiedBy>Piyush Prakash Dhabekar</cp:lastModifiedBy>
  <dcterms:created xsi:type="dcterms:W3CDTF">2026-09-12T14:47:15Z</dcterms:created>
  <dcterms:modified xsi:type="dcterms:W3CDTF">2026-09-12T15:28:45Z</dcterms:modified>
</cp:coreProperties>
</file>